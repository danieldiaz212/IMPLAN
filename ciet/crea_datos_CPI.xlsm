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4385" yWindow="45" windowWidth="14430" windowHeight="12195"/>
  </bookViews>
  <sheets>
    <sheet name="Hoja1" sheetId="2" r:id="rId1"/>
  </sheets>
  <definedNames>
    <definedName name="_xlnm._FilterDatabase" localSheetId="0" hidden="1">Hoja1!$A$1:$Q$144</definedName>
  </definedNames>
  <calcPr calcId="145621"/>
</workbook>
</file>

<file path=xl/calcChain.xml><?xml version="1.0" encoding="utf-8"?>
<calcChain xmlns="http://schemas.openxmlformats.org/spreadsheetml/2006/main">
  <c r="G132" i="2" l="1"/>
  <c r="G111" i="2" l="1"/>
  <c r="G32" i="2" l="1"/>
  <c r="G118" i="2"/>
  <c r="G29" i="2"/>
  <c r="G73" i="2" l="1"/>
  <c r="G13" i="2" l="1"/>
  <c r="G142" i="2" l="1"/>
  <c r="G141" i="2" s="1"/>
  <c r="G135" i="2"/>
  <c r="G128" i="2"/>
  <c r="G123" i="2"/>
  <c r="G122" i="2" s="1"/>
  <c r="G119" i="2"/>
  <c r="G113" i="2"/>
  <c r="G109" i="2"/>
  <c r="G108" i="2" l="1"/>
  <c r="G102" i="2"/>
  <c r="G101" i="2" s="1"/>
  <c r="G98" i="2"/>
  <c r="G89" i="2"/>
  <c r="G74" i="2"/>
  <c r="G71" i="2"/>
  <c r="G67" i="2"/>
  <c r="G70" i="2" l="1"/>
  <c r="G65" i="2"/>
  <c r="G64" i="2" s="1"/>
  <c r="G52" i="2"/>
  <c r="G50" i="2" s="1"/>
  <c r="G49" i="2"/>
  <c r="G47" i="2" s="1"/>
  <c r="G44" i="2"/>
  <c r="G46" i="2" l="1"/>
  <c r="G30" i="2"/>
  <c r="G16" i="2"/>
  <c r="G24" i="2"/>
  <c r="G19" i="2"/>
  <c r="G15" i="2" l="1"/>
  <c r="G8" i="2" l="1"/>
  <c r="G7" i="2" s="1"/>
  <c r="G4" i="2"/>
  <c r="G3" i="2" s="1"/>
  <c r="G140" i="2" l="1"/>
  <c r="G138" i="2" s="1"/>
  <c r="G131" i="2" s="1"/>
  <c r="G126" i="2" s="1"/>
  <c r="G97" i="2"/>
  <c r="G95" i="2" s="1"/>
  <c r="G94" i="2" s="1"/>
  <c r="G93" i="2"/>
  <c r="G91" i="2" s="1"/>
  <c r="G88" i="2" s="1"/>
  <c r="G86" i="2"/>
  <c r="G84" i="2" s="1"/>
  <c r="G83" i="2"/>
  <c r="G81" i="2" s="1"/>
  <c r="G79" i="2"/>
  <c r="G77" i="2" s="1"/>
  <c r="G76" i="2" s="1"/>
  <c r="G62" i="2"/>
  <c r="G60" i="2" s="1"/>
  <c r="G59" i="2"/>
  <c r="G57" i="2" s="1"/>
  <c r="G56" i="2"/>
  <c r="G54" i="2" s="1"/>
  <c r="G43" i="2"/>
  <c r="G41" i="2" s="1"/>
  <c r="G40" i="2" s="1"/>
  <c r="G39" i="2"/>
  <c r="G37" i="2" s="1"/>
  <c r="G36" i="2" s="1"/>
  <c r="G35" i="2"/>
  <c r="G33" i="2" s="1"/>
  <c r="G12" i="2"/>
  <c r="G11" i="2" s="1"/>
  <c r="G2" i="2" s="1"/>
  <c r="G87" i="2" l="1"/>
  <c r="G53" i="2"/>
  <c r="G80" i="2"/>
  <c r="G63" i="2" s="1"/>
  <c r="G116" i="2"/>
  <c r="G115" i="2" s="1"/>
  <c r="G107" i="2" s="1"/>
  <c r="G27" i="2"/>
  <c r="G23" i="2" s="1"/>
  <c r="G22" i="2" l="1"/>
  <c r="G151" i="2" s="1"/>
</calcChain>
</file>

<file path=xl/sharedStrings.xml><?xml version="1.0" encoding="utf-8"?>
<sst xmlns="http://schemas.openxmlformats.org/spreadsheetml/2006/main" count="506" uniqueCount="230">
  <si>
    <t>clave</t>
  </si>
  <si>
    <t>Productividad</t>
  </si>
  <si>
    <t>Definición</t>
  </si>
  <si>
    <t>Una ciudad próspera en términos de productividad garantiza la generación de empleos competitivos y bien remunerados, que permitan igualdad de oportunidades y calidad de vida adecuada para la población. Desde la perspectiva espacial, suministra de manera eficiente el suelo urbano y promueve su ocupación compacta,de tal forma que la concentración de las actividades económicas, sociales y culturales, representen una ventaja competitiva para la generación de empleos e incremento de la productividad per cápita.</t>
  </si>
  <si>
    <t>Crecimiento económico</t>
  </si>
  <si>
    <t>dimensión</t>
  </si>
  <si>
    <t>valor</t>
  </si>
  <si>
    <t>subdimension</t>
  </si>
  <si>
    <t>indicador</t>
  </si>
  <si>
    <t>Producto interno bruto</t>
  </si>
  <si>
    <t>Relaciona la producción del municipio (producto interno bruto por actividad económica) y su población total. Este indicador es un referente para medir la capacidad productiva de las ciudades y el nivel de ingresos de la población.</t>
  </si>
  <si>
    <t>Variable</t>
  </si>
  <si>
    <t>Producto Interno Bruto PIB (Millones)</t>
  </si>
  <si>
    <t>min</t>
  </si>
  <si>
    <t>max</t>
  </si>
  <si>
    <t>otro</t>
  </si>
  <si>
    <t>Nivel</t>
  </si>
  <si>
    <t>Población (Habitantes)</t>
  </si>
  <si>
    <t>Carga económica</t>
  </si>
  <si>
    <t>txt</t>
  </si>
  <si>
    <t>tit</t>
  </si>
  <si>
    <t>Carga econó.</t>
  </si>
  <si>
    <t>Relación de dependencia de la tercera edad</t>
  </si>
  <si>
    <t>Mide la relación entre el número de personas mayores (con edad de 65 años o más) y el número de personas en edad de trabajar (de 15 a 64 años). El objetivo de este indicador es conocer el nivel de dependencia y la magnitud de la oferta laboral futura de las ciudades.</t>
  </si>
  <si>
    <t>Población mayor igual 65 (Habitantes)</t>
  </si>
  <si>
    <t>Población entre 15 y 64 (habitantes)</t>
  </si>
  <si>
    <t>Aglomeración económica</t>
  </si>
  <si>
    <t>x</t>
  </si>
  <si>
    <t>Infraestructura de desarrollo</t>
  </si>
  <si>
    <t>Las ciudades prósperas son aquellas que han mejorado considerablemente la cobertura y la calidad de su infraestructura (de vivienda, social, tecnologías de la información, movilidad urbana y de conectividad de las vías). Estas infraestructuras urbanas cumplen un papel fundamental en el funcionamiento y desarrollo económico de la ciudad, e inciden también de manera directa en la calidad de vida de sus habitantes y en el fortalecimiento del tejido social.</t>
  </si>
  <si>
    <t>Calidad de vida</t>
  </si>
  <si>
    <t>Una ciudad próspera es aquella que proporciona a todos sus ciudadanos sin distinción de raza, etnicidad, género, estatus socio-económico u orientación sexual, servicios básicos dignos, educación de calidad, espacios públicos accesibles y seguridad ciudadana.</t>
  </si>
  <si>
    <t>Equidad e inclusión social</t>
  </si>
  <si>
    <t>Las ciudades más equitativas tienen mayores posibilidades de ser prósperas. Una ciudad próspera debe ser inclusiva socialmente, siendo más equitativa respecto a género, fortaleciendo la protección de los derechos de los grupos minoritarios y vulnerables, y asegurando una participación incluyente en la esfera social, política y cultural. El fracaso de las ciudades para integrar plenamente a los grupos excluidos en el proceso de toma de decisiones, crea y refuerza la pobreza.</t>
  </si>
  <si>
    <t>Sosteniblilidad ambiental</t>
  </si>
  <si>
    <t>Las ciudades ambientalmente sostenibles son capaces de mantener un sano equilibrio entre el crecimiento económico y el ambiente. Son más compactas y energéticamente eficientes, limpias, menos contaminadas, más accesibles y ofrecen mejores opciones de transporte. En esta dimensión existen las mayores carencias de información a nivel nacional, ya que algunas ciudades no cuentan con instrumentos de medición de calidad del aire, ni llevan registros relacionados con el manejo sustentable de los desechos. Tampoco existe información adecuada acerca de los avances en la adaptación al cambio climático.</t>
  </si>
  <si>
    <t>Gobernanza y legislación</t>
  </si>
  <si>
    <t>En una ciudad próspera las dimensiones de la prosperidad están balanceadas y sin grandes diferencias entre ellas. Las funciones de la gobernanza urbana, tales como la planeación urbana participativa, la promulgación de leyes, la regulación de los usos del suelo y las edificaciones, y el marco institucional, aseguran que ninguna dimensión de prosperidad tenga prevalencia sobre las demás. Por lo tanto, para alcanzar la prosperidad es necesario que la legislación local, la administración pública y las estructuras de participación ciudadana, armonicen el funcionamiento de las demás dimensiones.</t>
  </si>
  <si>
    <t>Empleo</t>
  </si>
  <si>
    <t>Densidad económica</t>
  </si>
  <si>
    <t>Superficie urbana municipal (Km2)</t>
  </si>
  <si>
    <t>Tasa de desempleo</t>
  </si>
  <si>
    <t>Población mayor 15 sin empleo (Habitantes)</t>
  </si>
  <si>
    <t>Población económicamente activa mayor 15 (Habitantes)</t>
  </si>
  <si>
    <t>Relación empleo - población</t>
  </si>
  <si>
    <t>Mide la proporción de población en edad de trabajar que se encuentra empleada (de 15 años o más). Este indicador dimensiona la capacidad de una ciudad para crear oportunidades de empleo.</t>
  </si>
  <si>
    <t>Determina la proporción de la fuerza laboral (personas mayores de 15 años) que se encuentra sin empleo, pero está disponible y en búsqueda del mismo. Niveles altos de desempleo perjudican la economía de las ciudades y reflejan problemas estructurales en el mercado laboral.</t>
  </si>
  <si>
    <t>Población mayor igual a 15 con empleo (Habitantes)</t>
  </si>
  <si>
    <t>Infraestructura de vivienda</t>
  </si>
  <si>
    <t>Vivienda durable</t>
  </si>
  <si>
    <t>Establece la proporción de vivienda considerada durable por la calidad de su construcción (pisos, paredes y techos con material durable), con relación al total de viviendas particulares habitadas en las localidades urbanas del municipio. Su objetivo es determinar las condiciones de seguridad de la población con relación a la calidad de la vivienda.</t>
  </si>
  <si>
    <t>Viviendas particulares habitadas durables(Viviendas)</t>
  </si>
  <si>
    <t>Viviendas particulares habitadas (Viviendas)</t>
  </si>
  <si>
    <t>Acceso a agua mejorada</t>
  </si>
  <si>
    <t>Mide la proporción de viviendas con acceso a agua potable (dentro y fuera del terreno de la vivienda, de llave pública o hidrante), con relación al total de viviendas particulares habitadas en el municipio. El objetivo es conocer las condiciones de bienestar social de la población, considerando que el agua es una necesidad básica para la vida humana y su suministro es  absolutamente necesario para la vida y la salud.</t>
  </si>
  <si>
    <t>Viviendas con acceso a agua potable (dentro o fuera del predio) Viviendas</t>
  </si>
  <si>
    <t>Espacio habitable suficiente</t>
  </si>
  <si>
    <t>Determina la proporción de viviendas con menos de 3 personas por habitación, con relación al total de viviendas particulares habitadas del municipio. Se considera que una vivienda proporciona espacio vital suficiente para sus miembros si tres personas o menos comparten la misma habitación.</t>
  </si>
  <si>
    <t>Viviendas con menos de 3 pers/hab (Viviendas)</t>
  </si>
  <si>
    <t>Viviendas totales habitadas (Viviendas)</t>
  </si>
  <si>
    <t>Densidad poblacional</t>
  </si>
  <si>
    <t>Mide el nivel de concentración de las personas y sus actividades, relacionando la población urbana municipal con la superficie urbana municipal. Su objetivo es determinar las tendencias de urbanización del municipio. Al comparar este indicador con relación a otros municipios y ciudades, será posible identificar los retos que enfrenta desde el punto de vista de la planeación urbana sostenible.</t>
  </si>
  <si>
    <t>Población urbana municipal (Habitantes)</t>
  </si>
  <si>
    <t>Infraestructura social</t>
  </si>
  <si>
    <t>Infra. social</t>
  </si>
  <si>
    <t>Densidad de médicos</t>
  </si>
  <si>
    <t>Determina el número de médicos disponibles en el municipio (personal médico del sector público), por cada mil habitantes. Su objetivo es proporcionar un referente sobre la fortaleza del sistema de salud del que dispone el municipio.</t>
  </si>
  <si>
    <t>Número médicos en municipio (Médicos)</t>
  </si>
  <si>
    <t>Infraestructura de comunicaciones</t>
  </si>
  <si>
    <t>Infra. de comunicaciones</t>
  </si>
  <si>
    <t>Acceso a internet</t>
  </si>
  <si>
    <t>Mide el número de usuarios de internet (ocupantes en viviendas particulares habitadas que disponen de internet), por cada 100 habitantes. Aunque sólo se considera el acceso de los usuarios dentro de las viviendas y no fuera de las mismas; este indicador constituye un referente importante para medir las condiciones de conectividad e igualdad de oportunidades en el municipio.</t>
  </si>
  <si>
    <t>Poblacion en viviendas particulares habitadas con acceso a internet (Habitantes)</t>
  </si>
  <si>
    <t>Velocidad de banda ancha promedio</t>
  </si>
  <si>
    <t>Velocidad promedio (Kbps) en municipio</t>
  </si>
  <si>
    <t>Movilidad urbana</t>
  </si>
  <si>
    <t>Longitud de transporte masivo</t>
  </si>
  <si>
    <t>Mide la longitud de los modos de transporte masivo en operación (kilómetros de líneas troncales de BRT, tren ligero, tranvía, metro y tren suburbano) con relación al total de población de la aglomeración urbana a la que pertenece el municipio. Este indicador es un referente para medir los logros concretos en materia de movilidad urbana eficiente y equitativa, así como en planificación del desarrollo urbano denso y compacto.</t>
  </si>
  <si>
    <t>Longitud (km) transporte masivo</t>
  </si>
  <si>
    <t>Fatalidades de tránsito</t>
  </si>
  <si>
    <t>Determina el número anual de fatalidades por accidentes de tránsito por cada 100 mil habitantes. La Organización Mundial de la Salud consideró que para 2020, las fatalidades por accidentes de tránsito serán la tercera causa de mortalidad a nivel mundial.</t>
  </si>
  <si>
    <t>Numero anual de fatalidades de transito (Muertes)</t>
  </si>
  <si>
    <t>Forma urbana</t>
  </si>
  <si>
    <t>Densidad de la interconexión vial</t>
  </si>
  <si>
    <t>Determina el número de intersecciones viales existentes en el municipio por cada kilómetro cuadrado de área urbana. A mayor número de intersecciones, mayor número de lugares donde los autos se detienen para el cruce de peatones. Las cuadras pequeñas favorecen la seguridad peatonal, aunque las normas de tránsito y el control de intersecciones complementan las condiciones de diseño urbano en las ciudades.</t>
  </si>
  <si>
    <t>Número intersecciones viales existentes municipio (Intersecciones)</t>
  </si>
  <si>
    <t>Densidad vial</t>
  </si>
  <si>
    <t>Numero de kilometros vías urbanas (km)</t>
  </si>
  <si>
    <t>Superficie destinada a vías</t>
  </si>
  <si>
    <t>Mide la proporción de la superficie urbana del municipio destinada a vialidades. Este indicador permite identificar el patrón espacial de crecimiento de las ciudades, sus condiciones de conectividad y el nivel de integración entre sus actividades sociales y económicas.</t>
  </si>
  <si>
    <t>Salud</t>
  </si>
  <si>
    <t>Esperanza de vida al nacer</t>
  </si>
  <si>
    <t>Mide el número promedio de años que se espera viviría un recién nacido. Este indicador aporta una perspectiva amplia de las condiciones de salud, dado que refleja la mortalidad general de la población.</t>
  </si>
  <si>
    <t>Esperanza de vida (Años)</t>
  </si>
  <si>
    <t>Tasa de mortalidad de menores de cinco años</t>
  </si>
  <si>
    <t>Mide la probabilidad por cada mil nacimientos de que un bebé muera antes de cumplir cinco años. La mortalidad infantil es una medida reconocida internacionalmente, que refleja las condiciones sociales, ambientales y económicas que influyen en la incidencia de enfermedades y en el desarrollo humano en general.</t>
  </si>
  <si>
    <t>Mortalidad infantil (Muertes)</t>
  </si>
  <si>
    <t>Educación</t>
  </si>
  <si>
    <t>Tasa de alfabetización</t>
  </si>
  <si>
    <t>Es el porcentaje de la población de 15 años y más que puede leer y escribir, con relación a la población total de 15 años y más. Uno de los aspectos que toda ciudad debe garantizar para sus ciudadanos es el acceso a educación de calidad, empleo y calidad de vida. Sin habilidades de lectura y escritura esto no sería posible.</t>
  </si>
  <si>
    <t>Población mayor igual a 15 que puede leer y escribir (Habitantes)</t>
  </si>
  <si>
    <t>Población mayor o igual a 15 años (Habitantes)</t>
  </si>
  <si>
    <t>Promedio de años de escolaridad</t>
  </si>
  <si>
    <t>Determina el promedio de años de escolaridad para la población de 25 años y más. Este indicador brinda  información sobre el stock de capital humano. Asume que a mayor capital humano, mayores niveles de productividad y crecimiento económico. Entre más alto sea el indicador para el municipio, más alto serán los retornos económicos que perciban sus ciudadanos.</t>
  </si>
  <si>
    <t>Años escolaridad población 25 años o mas (Años)</t>
  </si>
  <si>
    <t>Seguridad y protección</t>
  </si>
  <si>
    <t>Tasa de homicidios</t>
  </si>
  <si>
    <t>Mide el número de muertes causadas por otras personas (número de homicidios dolosos) por cada 100,000 habitantes. El cálculo de este indicador proporciona una aproximación al grado de criminalidad en una ciudad, así como a las condiciones de seguridad ciudadana.</t>
  </si>
  <si>
    <t>Número de homicidios (Muertes)</t>
  </si>
  <si>
    <t>Espacio público</t>
  </si>
  <si>
    <t>Accesibilidad al espacio público abierto</t>
  </si>
  <si>
    <t>Mide el porcentaje del área urbana que está localizada a 400 metros o menos de un espacio público abierto de jerarquía local, y a 1 km o menos de un espacio público  abierto de jerarquía regional. Este indicador proporciona información sobre las áreas de la ciudad que tienen cercanía con algún espacio público abierto (con acceso gratuito y libre) y si éste es suficiente  para su población. Los espacios públicos considerados para esta  edición son los siguientes: parques públicos y jardines vecinales, parques cívicos, plazas de iglesias y áreas recreacionales y deportivas (juegos infantiles, unidades deportivas, canchas de basquetbol y de  fútbol).</t>
  </si>
  <si>
    <t>Áreas verdes per cápita</t>
  </si>
  <si>
    <t>Equidad económica</t>
  </si>
  <si>
    <t>Coeficiente de Gini</t>
  </si>
  <si>
    <t>Coeficiente de Gini (%)</t>
  </si>
  <si>
    <t>Tasa de pobreza</t>
  </si>
  <si>
    <t>Este indicador busca capturar el porcentaje de la población con ingreso inferior a la línea de bienestar mínimo (valor de la canasta alimentaria básica —US$ 2.70 para diciembre de 2010—), con respecto a la población total del municipio. El avance en el combate y reducción de la pobreza son criterios ampliamente aceptados para evaluar el desempeño general de economías en desarrollo. En este sentido, las ciudades, al ser el punto central del desarrollo económico, deben usar la pobreza como uno de sus principales indicadores.</t>
  </si>
  <si>
    <t>Población con ingreso inferior a US $2.70 (habitantes)</t>
  </si>
  <si>
    <t>Inclusión social</t>
  </si>
  <si>
    <t>Viviendas en tugurios</t>
  </si>
  <si>
    <t>Mide la proporción de personas que habitan en viviendas que carecen de al menos una de las siguientes cuatro condiciones: acceso a agua mejorada, acceso a instalaciones de saneamiento adecuadas, espacio vital suficiente (sin hacinamiento) y/o vivienda duradera.</t>
  </si>
  <si>
    <t>Personas que habitan viviendas que carecen de al menos una de cuatro condiciones (Habitantes)</t>
  </si>
  <si>
    <t>Desempleo juvenil</t>
  </si>
  <si>
    <t>El desempleo juvenil comprende el porcentaje de personas entre 15 y 24 años que está desempleada, con respecto a la población económicamente activa de 15 y 24 años. Es importante considerar este hecho, ya que afecta la sostenibilidad de los potenciales mercados laborales de una ciudad. El combate al desempleo juvenil se ha transformado en una prioridad para países desarrollados y en vías de desarrollo.</t>
  </si>
  <si>
    <t>Población entre 15 y 24 años desempleada (Habitantes)</t>
  </si>
  <si>
    <t>Población económicamente activa entre 15 y 24 años (Habitantes)</t>
  </si>
  <si>
    <t>Inclusión de género</t>
  </si>
  <si>
    <t>Inscripción equitativa en educación de nivel secundario</t>
  </si>
  <si>
    <t>Mide la relación entre la población de hombres y mujeres de 12 a 15 años inscrita en secundaria. En muchas ciudades la inequidad de género persiste y las mujeres continúan enfrentando discriminación. La educación de las mujeres genera sinergias poderosas para la reducción de la pobreza y promueve la generación de enormes beneficios intergeneracionales.</t>
  </si>
  <si>
    <t>Población hombres entre 12 y 15 años inscrita en secundaria (Habitantes)</t>
  </si>
  <si>
    <t>Población hombres entre 12 y 15 años (Habitantes)</t>
  </si>
  <si>
    <t>Población mujeres entre 12 y 15 años inscrita en secundaria (Habitantes)</t>
  </si>
  <si>
    <t>Población mujeres entre 12 y 15 años (Habitantes)</t>
  </si>
  <si>
    <t>Calidad del aire</t>
  </si>
  <si>
    <t>Número de estaciones de monitoreo</t>
  </si>
  <si>
    <t>Número de estaciones de monitoreo (Estaciones)</t>
  </si>
  <si>
    <t>Concentraciones de material particulado</t>
  </si>
  <si>
    <t>Indica la concentración media diaria anual de PM10 (partículas de 10 micrones o menos) en la atmósfera. El valor estimado representa el promedio anual del nivel de exposición de un residente urbano promedio al material particulado exterior. Si bien los parámetros internacionales establecen la medición de PM2.5 como la más adecuada, la disponibilidad de datos en México generalmente se limita a PM10. En este sentido, resulta importante contar con mediciones de PM2.5 para dimensionar mejor el problema y proponer políticas ambientales.</t>
  </si>
  <si>
    <t>Emisiones de CO2 per cápita</t>
  </si>
  <si>
    <t>Registra la cantidad total de emisiones de CO2 en un año. El CO2 es el gas de efecto invernadero (GEI) más representativo, que contribuye al cambio climático global.</t>
  </si>
  <si>
    <t>Toneladas de CO2 por habitante (Gigagramo)</t>
  </si>
  <si>
    <t>Manejo de residuos</t>
  </si>
  <si>
    <t>Recolección de residuos sólidos</t>
  </si>
  <si>
    <t>Mide la proporción de viviendas con recolección de residuos (se refiere a viviendas con recolección domiciliaria o con disposición en contenedor o basurero público) respecto al total de viviendas particulares habitadas. Este indicador es un referente importante para conocer el estándar de los servicios municipales, de la calidad de vida y probabilidad de ocurrencia de enfermedades asociadas a la basura.</t>
  </si>
  <si>
    <t>Viviendas con recolección de residuos (Viviendas)</t>
  </si>
  <si>
    <t>Viviendas particulares habitadas ( Viviendas)</t>
  </si>
  <si>
    <t>Tratamiento de aguas residuales</t>
  </si>
  <si>
    <t>Establece el porcentaje de aguas residuales tratadas en relación con las aguas residuales  producidas dentro del municipio. El tratamiento de las aguas residuales municipales es una acción clave para mitigar el impacto de la vida urbana en el ambiente, mediante la reducción de la contaminación del agua.</t>
  </si>
  <si>
    <t>Aguas residuales tratadas (l/s)</t>
  </si>
  <si>
    <t>Aguas residuales producidas (l/s)</t>
  </si>
  <si>
    <t>Energía</t>
  </si>
  <si>
    <t>Proporción de consumo de energía renovable</t>
  </si>
  <si>
    <t>Mide la proporción de la electricidad producida mediante energía geotérmica, solar fotovoltaica, solar térmica, marea, viento, residuos industriales o municipales, biocombustibles primarios sólidos, biogases, biogasolina, biodiesel, otros biocombustibles líquidos, biocombustibles primarios y residuos no especificados, y carbón vegetal, como parte del total de la producción eléctrica generada.</t>
  </si>
  <si>
    <t>Participación y rendición de cuentas</t>
  </si>
  <si>
    <t>Participación electoral</t>
  </si>
  <si>
    <t>Mide la relación de personas con capacidad para votar que ejercen su derecho al voto en una elección municipal, con respecto al número de personas con capacidad para votar (lista nominal electoral). Este indicador es un referente para conocer las condiciones de democracia y legitimidad de las instituciones políticas locales.</t>
  </si>
  <si>
    <t>Personas con capacidad para votar que votaron (Habitantes)</t>
  </si>
  <si>
    <t>Personas con capacidad para votar (lista nominal), (Habitantes)</t>
  </si>
  <si>
    <t>Capacidad institucional y finanzas municipales</t>
  </si>
  <si>
    <t>Cap. ins. y fina. mun.</t>
  </si>
  <si>
    <t>Eficiencia del gasto local</t>
  </si>
  <si>
    <t>Determina la proporción del gasto real de los gobiernos municipales (egresos brutos) con relación al gasto estimado (presupuesto municipal). Este indicador evidencia la capacidad de los gobiernos municipales de anticipar sus gastos futuros y mejorar el uso de sus recursos. Aunque esta información es valiosa, no refleja la capacidad financiera ni la eficiencia del gobierno local.</t>
  </si>
  <si>
    <t>Gasto real de los gobiernos municipales (egresos brutos) (Pesos)</t>
  </si>
  <si>
    <t>Gasto estimado (presupuesto municipal) (Pesos)</t>
  </si>
  <si>
    <t>Recaudación de ingresos propios</t>
  </si>
  <si>
    <t>Registra el porcentaje de ingresos propios respecto al total de ingresos de la ciudad. Es de esperar que una mayor autonomía fiscal genere mayor eficiencia en el gasto y puede ser usada como un indicativo del desempeño fiscal local.</t>
  </si>
  <si>
    <t>Ingresos propios del municipio (Pesos)</t>
  </si>
  <si>
    <t>Ingresos totales del municipio (Pesos)</t>
  </si>
  <si>
    <t>Deuda sub nacional</t>
  </si>
  <si>
    <t>Porcentaje de la deuda municipal con respecto a sus ingresos totales. El objetivo de mantener la deuda municipal dentro de los límites establecidos es garantizar la sostenibilidad futura de los presupuestos locales y nacionales.</t>
  </si>
  <si>
    <t>Deuda municipal (Pesos)</t>
  </si>
  <si>
    <t>Gobernanza de la urbanización</t>
  </si>
  <si>
    <t>Gobernanza de la urbani.</t>
  </si>
  <si>
    <t>Expansión urbana</t>
  </si>
  <si>
    <t>Tasa anual de crecimiento del área urbana (%)</t>
  </si>
  <si>
    <t>Tasa anual de crecimiento de la población (%)</t>
  </si>
  <si>
    <t>Estima el número de kilómetros de vías urbanas por kilómetro cuadrado de superficie urbana municipal. Este indicador considera que las vías cortas y directas apoyan la circulación peatonal y ciclista, por lo tanto es un referente para conocer las condiciones de integración de la red vial y la movilidad urbana en las ciudades.</t>
  </si>
  <si>
    <t>Este indicador mide y monitorea en el tiempo la relación entre el consumo de suelo (tasa anual de crecimiento del área urbana) y el crecimiento de la población (tasa anual de crecimiento de la población).</t>
  </si>
  <si>
    <t>anio</t>
  </si>
  <si>
    <t>fuente</t>
  </si>
  <si>
    <t>impacta</t>
  </si>
  <si>
    <t>anio_hist</t>
  </si>
  <si>
    <t>valor_hist</t>
  </si>
  <si>
    <t>INEGI: Encuesta Intercensal 2015</t>
  </si>
  <si>
    <t>1,2,3,4</t>
  </si>
  <si>
    <t>1,2,3</t>
  </si>
  <si>
    <t>2,5</t>
  </si>
  <si>
    <t>INEGI: SIMBAD</t>
  </si>
  <si>
    <t>Secretaria de Salud: Base de datos defunciones generales</t>
  </si>
  <si>
    <t>INEGI:  Encuesta Intercesal 2015</t>
  </si>
  <si>
    <t>INEGI: Encuesta Intercensal 2015.</t>
  </si>
  <si>
    <t>Electricidad producida por fuentes renovables (GWh)</t>
  </si>
  <si>
    <t>IEEEQ: Resultados de elecciones para gobernador</t>
  </si>
  <si>
    <t>Electricidad total producida (GWh)</t>
  </si>
  <si>
    <t>Secretaria de Salud: INEGI:  Encuesta Intercesal 2015</t>
  </si>
  <si>
    <t>CONAGUA</t>
  </si>
  <si>
    <t>IMCO: Índice de información presupuestal municipal, 2014 y 2015. Base de datos 2009-2015.</t>
  </si>
  <si>
    <t>INEGI: Estadística de finanzas públicas estatales y municipales.</t>
  </si>
  <si>
    <t>INEGI: TCMA a partir de los datos de población en la variable Población Zona Metropolitana</t>
  </si>
  <si>
    <t>Nacidos vivos ocurridos (NVO)</t>
  </si>
  <si>
    <t>Superficie de area verde (km2)</t>
  </si>
  <si>
    <t>CQRN: Elaboración propia</t>
  </si>
  <si>
    <t>CONAPO: Proyecciones de población 2010-2030</t>
  </si>
  <si>
    <t>CONEVAL, INEGI: CONEVAL: Indicadores de Cohesión social, Indicadores de probreza por municipio.</t>
  </si>
  <si>
    <t>INEGI: Estimación a partir de Encuesta Intercensal 2015</t>
  </si>
  <si>
    <t>CONAGUA: Inventario nacional de plantas municipales de potabilización y tratamiento de aguas residuales en operación.</t>
  </si>
  <si>
    <t>INEGI: Accidentes de tránsito terrestre en zonas urbanas y suburbanas, 2014</t>
  </si>
  <si>
    <t>INEGI: Registros administrativos judiciales en materia penal, 2000 - 2010. SEGOB: Secretariado Ejecutivo del Sistema Nacional de Seguridad Pública 2011-2016. Página web: http://secretariadoejecutivo.gob.mx/incidencia-delictiva/incidencia-delictiva-fuero-comun.php.</t>
  </si>
  <si>
    <t>INECC: Informe Nacional de Calidad del Aire 2015, México. Páginas 132-136.</t>
  </si>
  <si>
    <t>SENER: Sistema de información energética.</t>
  </si>
  <si>
    <t>SEMARNAT: Sistema Nacional de Información Ambiental y de Recursos Naturales: Estaciones de medición de contaminantes criterio por municipio, 2015. También: SEDESU (2014). Programa de Gestión para Mejorar la Calidad del Aire de la Zona Metropolitana de Querétaro-San Juan del Río 2014-2023</t>
  </si>
  <si>
    <t>SHCP: Estadísticas sobre la deuda en entidades federativas y municipios de México.</t>
  </si>
  <si>
    <t>SEDESOL: 1980-2000: TCMA a partir de Área urbana SEDATU. 2000-2010 y 2010-2015  TCMA a partir de Área urbana CQRN  (elaboración propia).</t>
  </si>
  <si>
    <t>Repetida</t>
  </si>
  <si>
    <t>No</t>
  </si>
  <si>
    <t>Si</t>
  </si>
  <si>
    <t>CONAPO: Indicadores demográficos por entidad. 2010-2030</t>
  </si>
  <si>
    <t>Superficie urbana municipal (km2)</t>
  </si>
  <si>
    <t>Superficie de vialidades (km2)</t>
  </si>
  <si>
    <t>Área urbana localizada a 400 metros o menos de un espacio público abierto local y a 1 km o menos de un espacio público abierto de jerarquía regional. (km2)</t>
  </si>
  <si>
    <t>Proyección al año 2015 con valores de INEGI</t>
  </si>
  <si>
    <t>Concentración media diaria anual de PM10 equivalentes (μg/m3)</t>
  </si>
  <si>
    <t>Valor Proyectado al 2015 con datos de INECC: Informe Nacional de Calidad del Aire 2015, México. Páginas 132-136.</t>
  </si>
  <si>
    <t xml:space="preserve">Fuente: Banco de Información de Telecomunicaciones. Instituto Federal de Telecomunicaciones. </t>
  </si>
  <si>
    <t>Es un indicador espacial que relaciona la producción del municipio (producto interno bruto por actividad económica) con la superficie urbana municipal. Su objetivo es conocer el grado de concentración de las actividades productivas, bajo la premisa de que la aglomeración económica representa una ventaja competitiva para las ciudades.</t>
  </si>
  <si>
    <t>Califica la velocidad promedio de banda ancha (kilobits por segundo –Kbps–) para el acceso a internet en el municipio. Dicho acceso es importante para el desarrollo de actividades económicas y sociales y para garantizar conectividad e igualdad de oportunidades para todos.</t>
  </si>
  <si>
    <t>Mide la superficie de área verde total que existe en una ciudad (km2) por habitante. Las áreas verdes se definen como áreas públicas o privadas con elementos de flora como plantas, árboles y césped (por ejemplo bosques, parques y jardines). Estas áreas tienen una relevancia ambiental al contribuir a capturar emisiones de CO2, además de otros servicios ambientales.</t>
  </si>
  <si>
    <t>Mide hasta qué punto la distribución del ingreso entre individuos u hogares dentro de una economía se aleja de una distribución perfectamente equitativa. Las inequidades en los ingresos deben ser consideradas como el punto central de las políticas que apuntan a construir ciudades equitativas e inclusivas.</t>
  </si>
  <si>
    <t>Indica el número de estaciones de monitoreo en operación, localizadas en la zona metropolitana. La calidad de las mediciones de concentraciones contaminantes en el aire depende de la existencia de este tipo de infraestructura.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</si>
</sst>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sz val="11"/>
      <color theme="0"/>
      <name val="Calibri"/>
      <family val="2"/>
      <scheme val="minor"/>
    </font>
    <font>
      <sz val="11"/>
      <name val="Calibri"/>
      <family val="2"/>
      <scheme val="minor"/>
    </font>
    <font>
      <b/>
      <sz val="14"/>
      <color theme="1"/>
      <name val="Calibri"/>
      <family val="2"/>
      <scheme val="minor"/>
    </font>
    <font>
      <sz val="12"/>
      <color theme="0"/>
      <name val="Calibri"/>
      <family val="2"/>
      <scheme val="minor"/>
    </font>
    <font>
      <sz val="12"/>
      <name val="Calibri"/>
      <family val="2"/>
      <scheme val="minor"/>
    </font>
    <font>
      <sz val="11"/>
      <color rgb="FF7030A0"/>
      <name val="Calibri"/>
      <family val="2"/>
      <scheme val="minor"/>
    </font>
    <font>
      <b/>
      <sz val="12"/>
      <color theme="5" tint="-0.499984740745262"/>
      <name val="Calibri"/>
      <family val="2"/>
      <scheme val="minor"/>
    </font>
    <font>
      <b/>
      <sz val="11"/>
      <color rgb="FFFF0000"/>
      <name val="Calibri"/>
      <family val="2"/>
      <scheme val="minor"/>
    </font>
    <font>
      <sz val="11"/>
      <color theme="6" tint="-0.249977111117893"/>
      <name val="Calibri"/>
      <family val="2"/>
      <scheme val="minor"/>
    </font>
    <font>
      <b/>
      <sz val="11"/>
      <color theme="6" tint="-0.249977111117893"/>
      <name val="Calibri"/>
      <family val="2"/>
      <scheme val="minor"/>
    </font>
    <font>
      <b/>
      <sz val="11"/>
      <color rgb="FF679E2A"/>
      <name val="Calibri"/>
      <family val="2"/>
      <scheme val="minor"/>
    </font>
    <font>
      <sz val="11"/>
      <color rgb="FF679E2A"/>
      <name val="Calibri"/>
      <family val="2"/>
      <scheme val="minor"/>
    </font>
    <font>
      <sz val="11"/>
      <color rgb="FFFF0000"/>
      <name val="Calibri"/>
      <family val="2"/>
      <scheme val="minor"/>
    </font>
  </fonts>
  <fills count="7">
    <fill>
      <patternFill patternType="none"/>
    </fill>
    <fill>
      <patternFill patternType="gray125"/>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rgb="FFFFFF00"/>
        <bgColor indexed="64"/>
      </patternFill>
    </fill>
  </fills>
  <borders count="12">
    <border>
      <left/>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medium">
        <color indexed="64"/>
      </right>
      <top style="thin">
        <color indexed="64"/>
      </top>
      <bottom/>
      <diagonal/>
    </border>
    <border>
      <left/>
      <right style="medium">
        <color indexed="64"/>
      </right>
      <top/>
      <bottom/>
      <diagonal/>
    </border>
  </borders>
  <cellStyleXfs count="1">
    <xf numFmtId="0" fontId="0" fillId="0" borderId="0"/>
  </cellStyleXfs>
  <cellXfs count="74">
    <xf numFmtId="0" fontId="0" fillId="0" borderId="0" xfId="0"/>
    <xf numFmtId="0" fontId="2" fillId="3" borderId="5" xfId="0" applyFont="1" applyFill="1" applyBorder="1"/>
    <xf numFmtId="0" fontId="0" fillId="4" borderId="4" xfId="0" applyFill="1" applyBorder="1"/>
    <xf numFmtId="0" fontId="0" fillId="4" borderId="5" xfId="0" applyFill="1" applyBorder="1"/>
    <xf numFmtId="0" fontId="0" fillId="5" borderId="4" xfId="0" applyFill="1" applyBorder="1"/>
    <xf numFmtId="0" fontId="0" fillId="5" borderId="5" xfId="0" applyFill="1" applyBorder="1"/>
    <xf numFmtId="1" fontId="0" fillId="5" borderId="5" xfId="0" applyNumberFormat="1" applyFill="1" applyBorder="1"/>
    <xf numFmtId="164" fontId="0" fillId="5" borderId="5" xfId="0" applyNumberFormat="1" applyFill="1" applyBorder="1"/>
    <xf numFmtId="0" fontId="0" fillId="5" borderId="7" xfId="0" applyFill="1" applyBorder="1"/>
    <xf numFmtId="0" fontId="0" fillId="5" borderId="8" xfId="0" applyFill="1" applyBorder="1"/>
    <xf numFmtId="0" fontId="1" fillId="0" borderId="0" xfId="0" applyFont="1" applyFill="1"/>
    <xf numFmtId="0" fontId="2" fillId="0" borderId="0" xfId="0" applyFont="1" applyFill="1"/>
    <xf numFmtId="0" fontId="0" fillId="0" borderId="0" xfId="0" applyFill="1"/>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Fill="1" applyAlignment="1"/>
    <xf numFmtId="0" fontId="4" fillId="2" borderId="4" xfId="0" applyFont="1" applyFill="1" applyBorder="1"/>
    <xf numFmtId="0" fontId="4" fillId="2" borderId="5" xfId="0" applyFont="1" applyFill="1" applyBorder="1"/>
    <xf numFmtId="0" fontId="5" fillId="3" borderId="4" xfId="0" applyFont="1" applyFill="1" applyBorder="1"/>
    <xf numFmtId="0" fontId="5" fillId="3" borderId="5" xfId="0" applyFont="1" applyFill="1" applyBorder="1"/>
    <xf numFmtId="0" fontId="3" fillId="0" borderId="3" xfId="0" applyFont="1" applyFill="1" applyBorder="1" applyAlignment="1"/>
    <xf numFmtId="0" fontId="4" fillId="0" borderId="6" xfId="0" applyFont="1" applyFill="1" applyBorder="1"/>
    <xf numFmtId="0" fontId="2" fillId="0" borderId="6" xfId="0" applyFont="1" applyFill="1" applyBorder="1"/>
    <xf numFmtId="0" fontId="0" fillId="0" borderId="6" xfId="0" applyFill="1" applyBorder="1"/>
    <xf numFmtId="0" fontId="0" fillId="0" borderId="9" xfId="0" applyFill="1" applyBorder="1"/>
    <xf numFmtId="0" fontId="6" fillId="5" borderId="5" xfId="0" applyFont="1" applyFill="1" applyBorder="1"/>
    <xf numFmtId="0" fontId="2" fillId="5" borderId="5" xfId="0" applyFont="1" applyFill="1" applyBorder="1"/>
    <xf numFmtId="0" fontId="2" fillId="5" borderId="8" xfId="0" applyFont="1" applyFill="1" applyBorder="1"/>
    <xf numFmtId="0" fontId="3" fillId="0" borderId="10" xfId="0" applyFont="1" applyBorder="1" applyAlignment="1">
      <alignment horizontal="center"/>
    </xf>
    <xf numFmtId="0" fontId="4" fillId="2" borderId="11" xfId="0" applyFont="1" applyFill="1" applyBorder="1"/>
    <xf numFmtId="0" fontId="5" fillId="3" borderId="11" xfId="0" applyFont="1" applyFill="1" applyBorder="1"/>
    <xf numFmtId="0" fontId="0" fillId="4" borderId="11" xfId="0" applyFill="1" applyBorder="1"/>
    <xf numFmtId="0" fontId="0" fillId="5" borderId="11" xfId="0" applyFill="1" applyBorder="1"/>
    <xf numFmtId="0" fontId="7" fillId="5" borderId="5" xfId="0" applyFont="1" applyFill="1" applyBorder="1"/>
    <xf numFmtId="164" fontId="8" fillId="4" borderId="5" xfId="0" applyNumberFormat="1" applyFont="1" applyFill="1" applyBorder="1"/>
    <xf numFmtId="164" fontId="5" fillId="3" borderId="5" xfId="0" applyNumberFormat="1" applyFont="1" applyFill="1" applyBorder="1"/>
    <xf numFmtId="164" fontId="4" fillId="2" borderId="5" xfId="0" applyNumberFormat="1" applyFont="1" applyFill="1" applyBorder="1"/>
    <xf numFmtId="0" fontId="8" fillId="4" borderId="5" xfId="0" applyFont="1" applyFill="1" applyBorder="1"/>
    <xf numFmtId="2" fontId="8" fillId="4" borderId="5" xfId="0" applyNumberFormat="1" applyFont="1" applyFill="1" applyBorder="1"/>
    <xf numFmtId="2" fontId="5" fillId="3" borderId="5" xfId="0" applyNumberFormat="1" applyFont="1" applyFill="1" applyBorder="1"/>
    <xf numFmtId="2" fontId="4" fillId="2" borderId="5" xfId="0" applyNumberFormat="1" applyFont="1" applyFill="1" applyBorder="1"/>
    <xf numFmtId="164" fontId="0" fillId="0" borderId="0" xfId="0" applyNumberFormat="1"/>
    <xf numFmtId="0" fontId="3" fillId="0" borderId="2" xfId="0" applyFont="1" applyBorder="1" applyAlignment="1" applyProtection="1">
      <alignment horizontal="center"/>
    </xf>
    <xf numFmtId="0" fontId="4" fillId="2" borderId="5" xfId="0" applyFont="1" applyFill="1" applyBorder="1" applyProtection="1"/>
    <xf numFmtId="0" fontId="2" fillId="3" borderId="5" xfId="0" applyFont="1" applyFill="1" applyBorder="1" applyProtection="1"/>
    <xf numFmtId="0" fontId="0" fillId="4" borderId="5" xfId="0" applyFill="1" applyBorder="1" applyProtection="1"/>
    <xf numFmtId="0" fontId="0" fillId="5" borderId="5" xfId="0" applyFill="1" applyBorder="1" applyProtection="1"/>
    <xf numFmtId="0" fontId="2" fillId="5" borderId="5" xfId="0" applyFont="1" applyFill="1" applyBorder="1" applyProtection="1"/>
    <xf numFmtId="0" fontId="0" fillId="0" borderId="0" xfId="0" applyProtection="1"/>
    <xf numFmtId="0" fontId="7" fillId="5" borderId="5" xfId="0" applyFont="1" applyFill="1" applyBorder="1" applyProtection="1"/>
    <xf numFmtId="0" fontId="8" fillId="5" borderId="8" xfId="0" applyFont="1" applyFill="1" applyBorder="1" applyProtection="1">
      <protection locked="0"/>
    </xf>
    <xf numFmtId="0" fontId="2" fillId="4" borderId="5" xfId="0" applyFont="1" applyFill="1" applyBorder="1"/>
    <xf numFmtId="0" fontId="2" fillId="4" borderId="5" xfId="0" applyFont="1" applyFill="1" applyBorder="1" applyProtection="1"/>
    <xf numFmtId="0" fontId="2" fillId="0" borderId="0" xfId="0" applyFont="1"/>
    <xf numFmtId="0" fontId="5" fillId="2" borderId="5" xfId="0" applyFont="1" applyFill="1" applyBorder="1"/>
    <xf numFmtId="0" fontId="5" fillId="2" borderId="5" xfId="0" applyFont="1" applyFill="1" applyBorder="1" applyProtection="1"/>
    <xf numFmtId="0" fontId="9" fillId="5" borderId="5" xfId="0" applyFont="1" applyFill="1" applyBorder="1"/>
    <xf numFmtId="0" fontId="10" fillId="5" borderId="5" xfId="0" applyFont="1" applyFill="1" applyBorder="1"/>
    <xf numFmtId="0" fontId="11" fillId="5" borderId="5" xfId="0" applyFont="1" applyFill="1" applyBorder="1"/>
    <xf numFmtId="0" fontId="12" fillId="5" borderId="5" xfId="0" applyFont="1" applyFill="1" applyBorder="1" applyProtection="1">
      <protection locked="0"/>
    </xf>
    <xf numFmtId="0" fontId="12" fillId="5" borderId="5" xfId="0" applyFont="1" applyFill="1" applyBorder="1"/>
    <xf numFmtId="0" fontId="12" fillId="5" borderId="8" xfId="0" applyFont="1" applyFill="1" applyBorder="1" applyProtection="1">
      <protection locked="0"/>
    </xf>
    <xf numFmtId="0" fontId="0" fillId="4" borderId="5" xfId="0" applyFill="1" applyBorder="1" applyProtection="1">
      <protection locked="0"/>
    </xf>
    <xf numFmtId="164" fontId="8" fillId="4" borderId="5" xfId="0" applyNumberFormat="1" applyFont="1" applyFill="1" applyBorder="1" applyProtection="1"/>
    <xf numFmtId="2" fontId="8" fillId="4" borderId="5" xfId="0" applyNumberFormat="1" applyFont="1" applyFill="1" applyBorder="1" applyProtection="1"/>
    <xf numFmtId="0" fontId="13" fillId="5" borderId="11" xfId="0" applyFont="1" applyFill="1" applyBorder="1"/>
    <xf numFmtId="0" fontId="9" fillId="5" borderId="5" xfId="0" applyFont="1" applyFill="1" applyBorder="1" applyProtection="1">
      <protection locked="0"/>
    </xf>
    <xf numFmtId="0" fontId="0" fillId="5" borderId="5" xfId="0" applyFill="1" applyBorder="1" applyProtection="1">
      <protection locked="0"/>
    </xf>
    <xf numFmtId="2" fontId="8" fillId="6" borderId="5" xfId="0" applyNumberFormat="1" applyFont="1" applyFill="1" applyBorder="1"/>
    <xf numFmtId="2" fontId="12" fillId="5" borderId="5" xfId="0" applyNumberFormat="1" applyFont="1" applyFill="1" applyBorder="1" applyProtection="1">
      <protection locked="0"/>
    </xf>
    <xf numFmtId="164" fontId="12" fillId="5" borderId="5" xfId="0" applyNumberFormat="1" applyFont="1" applyFill="1" applyBorder="1" applyProtection="1">
      <protection locked="0"/>
    </xf>
    <xf numFmtId="1" fontId="12" fillId="5" borderId="5" xfId="0" applyNumberFormat="1" applyFont="1" applyFill="1" applyBorder="1" applyProtection="1">
      <protection locked="0"/>
    </xf>
    <xf numFmtId="1" fontId="7" fillId="5" borderId="5" xfId="0" applyNumberFormat="1" applyFont="1" applyFill="1" applyBorder="1"/>
    <xf numFmtId="2" fontId="12" fillId="5" borderId="8" xfId="0" applyNumberFormat="1" applyFont="1" applyFill="1" applyBorder="1" applyProtection="1">
      <protection locked="0"/>
    </xf>
  </cellXfs>
  <cellStyles count="1">
    <cellStyle name="Normal" xfId="0" builtinId="0"/>
  </cellStyles>
  <dxfs count="0"/>
  <tableStyles count="0" defaultTableStyle="TableStyleMedium2" defaultPivotStyle="PivotStyleLight16"/>
  <colors>
    <mruColors>
      <color rgb="FF679E2A"/>
      <color rgb="FF4EF02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1371601</xdr:colOff>
      <xdr:row>0</xdr:row>
      <xdr:rowOff>19050</xdr:rowOff>
    </xdr:from>
    <xdr:to>
      <xdr:col>4</xdr:col>
      <xdr:colOff>1447801</xdr:colOff>
      <xdr:row>0</xdr:row>
      <xdr:rowOff>457200</xdr:rowOff>
    </xdr:to>
    <xdr:sp macro="[0]!ThisWorkbook.Crea_EstructuraCPI" textlink="">
      <xdr:nvSpPr>
        <xdr:cNvPr id="2" name="1 Rectángulo redondeado"/>
        <xdr:cNvSpPr/>
      </xdr:nvSpPr>
      <xdr:spPr>
        <a:xfrm>
          <a:off x="2762251" y="19050"/>
          <a:ext cx="1752600" cy="43815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s-MX" sz="1800" b="1">
              <a:solidFill>
                <a:sysClr val="windowText" lastClr="000000"/>
              </a:solidFill>
            </a:rPr>
            <a:t>Crear Archivo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151"/>
  <sheetViews>
    <sheetView tabSelected="1" topLeftCell="C1" zoomScale="80" zoomScaleNormal="80" workbookViewId="0">
      <pane ySplit="1" topLeftCell="A80" activePane="bottomLeft" state="frozen"/>
      <selection pane="bottomLeft" activeCell="Q109" sqref="Q109"/>
    </sheetView>
  </sheetViews>
  <sheetFormatPr baseColWidth="10" defaultRowHeight="15" x14ac:dyDescent="0.25"/>
  <cols>
    <col min="1" max="1" width="7.28515625" customWidth="1"/>
    <col min="2" max="2" width="9.85546875" bestFit="1" customWidth="1"/>
    <col min="3" max="3" width="13.5703125" customWidth="1"/>
    <col min="4" max="4" width="54" customWidth="1"/>
    <col min="5" max="5" width="26.28515625" customWidth="1"/>
    <col min="6" max="6" width="11.42578125" customWidth="1"/>
    <col min="7" max="8" width="12.85546875" customWidth="1"/>
    <col min="9" max="9" width="48" customWidth="1"/>
    <col min="10" max="10" width="7.85546875" customWidth="1"/>
    <col min="11" max="12" width="12.85546875" customWidth="1"/>
    <col min="13" max="13" width="9.85546875" customWidth="1"/>
    <col min="14" max="14" width="10.85546875" customWidth="1"/>
    <col min="15" max="15" width="12.5703125" customWidth="1"/>
    <col min="16" max="16" width="9.42578125" style="48" customWidth="1"/>
    <col min="17" max="17" width="37.140625" style="12" customWidth="1"/>
    <col min="18" max="16384" width="11.42578125" style="12"/>
  </cols>
  <sheetData>
    <row r="1" spans="1:17" s="15" customFormat="1" ht="50.25" customHeight="1" x14ac:dyDescent="0.3">
      <c r="A1" s="13"/>
      <c r="B1" s="28" t="s">
        <v>214</v>
      </c>
      <c r="C1" s="14" t="s">
        <v>16</v>
      </c>
      <c r="D1" s="14" t="s">
        <v>19</v>
      </c>
      <c r="E1" s="14" t="s">
        <v>20</v>
      </c>
      <c r="F1" s="14" t="s">
        <v>0</v>
      </c>
      <c r="G1" s="14" t="s">
        <v>6</v>
      </c>
      <c r="H1" s="14" t="s">
        <v>179</v>
      </c>
      <c r="I1" s="14" t="s">
        <v>180</v>
      </c>
      <c r="J1" s="14" t="s">
        <v>181</v>
      </c>
      <c r="K1" s="14" t="s">
        <v>182</v>
      </c>
      <c r="L1" s="14" t="s">
        <v>183</v>
      </c>
      <c r="M1" s="14" t="s">
        <v>13</v>
      </c>
      <c r="N1" s="14" t="s">
        <v>14</v>
      </c>
      <c r="O1" s="14" t="s">
        <v>27</v>
      </c>
      <c r="P1" s="42" t="s">
        <v>15</v>
      </c>
      <c r="Q1" s="20" t="s">
        <v>2</v>
      </c>
    </row>
    <row r="2" spans="1:17" s="10" customFormat="1" ht="15.75" customHeight="1" x14ac:dyDescent="0.25">
      <c r="A2" s="16">
        <v>1</v>
      </c>
      <c r="B2" s="29"/>
      <c r="C2" s="17" t="s">
        <v>5</v>
      </c>
      <c r="D2" s="17" t="s">
        <v>1</v>
      </c>
      <c r="E2" s="17"/>
      <c r="F2" s="17">
        <v>1</v>
      </c>
      <c r="G2" s="36">
        <f>AVERAGE(G3,G7,G11,G15)</f>
        <v>56.325198784951908</v>
      </c>
      <c r="H2" s="17"/>
      <c r="I2" s="17"/>
      <c r="J2" s="17"/>
      <c r="K2" s="17"/>
      <c r="L2" s="17"/>
      <c r="M2" s="17"/>
      <c r="N2" s="17"/>
      <c r="O2" s="17"/>
      <c r="P2" s="43"/>
      <c r="Q2" s="21" t="s">
        <v>3</v>
      </c>
    </row>
    <row r="3" spans="1:17" s="11" customFormat="1" ht="15.75" customHeight="1" x14ac:dyDescent="0.25">
      <c r="A3" s="18">
        <v>2</v>
      </c>
      <c r="B3" s="30"/>
      <c r="C3" s="19" t="s">
        <v>7</v>
      </c>
      <c r="D3" s="19" t="s">
        <v>4</v>
      </c>
      <c r="E3" s="19" t="s">
        <v>4</v>
      </c>
      <c r="F3" s="19">
        <v>101</v>
      </c>
      <c r="G3" s="35">
        <f>G4</f>
        <v>75.787685236884002</v>
      </c>
      <c r="H3" s="19"/>
      <c r="I3" s="19"/>
      <c r="J3" s="19"/>
      <c r="K3" s="19"/>
      <c r="L3" s="19"/>
      <c r="M3" s="1"/>
      <c r="N3" s="1"/>
      <c r="O3" s="1"/>
      <c r="P3" s="44"/>
      <c r="Q3" s="22"/>
    </row>
    <row r="4" spans="1:17" ht="15" customHeight="1" x14ac:dyDescent="0.25">
      <c r="A4" s="2">
        <v>3</v>
      </c>
      <c r="B4" s="31"/>
      <c r="C4" s="3" t="s">
        <v>8</v>
      </c>
      <c r="D4" s="3" t="s">
        <v>9</v>
      </c>
      <c r="E4" s="3"/>
      <c r="F4" s="3">
        <v>10101</v>
      </c>
      <c r="G4" s="63">
        <f>IF(LOG((G5*1000000/G6)/P6)&lt;=LOG(M6),0,IF(LOG((G5*1000000/G6)/P6)&gt;=LOG(N6),100,IF(AND(LOG(M6)&lt;=LOG((G5*1000000/G6)/P6), LOG((G5*1000000/G6)/P6)&lt;=LOG(N6)),100*(LOG((G5*1000000/G6)/P6)-LOG(M6))/(LOG(N6)-LOG(M6)),NAN)))</f>
        <v>75.787685236884002</v>
      </c>
      <c r="H4" s="3"/>
      <c r="I4" s="3"/>
      <c r="J4" s="3"/>
      <c r="K4" s="3"/>
      <c r="L4" s="3"/>
      <c r="M4" s="3"/>
      <c r="N4" s="3"/>
      <c r="O4" s="3"/>
      <c r="P4" s="45"/>
      <c r="Q4" s="23" t="s">
        <v>10</v>
      </c>
    </row>
    <row r="5" spans="1:17" x14ac:dyDescent="0.25">
      <c r="A5" s="4">
        <v>4</v>
      </c>
      <c r="B5" s="32" t="s">
        <v>215</v>
      </c>
      <c r="C5" s="5" t="s">
        <v>11</v>
      </c>
      <c r="D5" s="26" t="s">
        <v>12</v>
      </c>
      <c r="E5" s="5"/>
      <c r="F5" s="5"/>
      <c r="G5" s="59">
        <v>211771</v>
      </c>
      <c r="H5" s="59">
        <v>2015</v>
      </c>
      <c r="I5" s="5" t="s">
        <v>221</v>
      </c>
      <c r="J5" s="5">
        <v>1</v>
      </c>
      <c r="K5" s="56">
        <v>2008</v>
      </c>
      <c r="L5" s="56">
        <v>156974</v>
      </c>
      <c r="M5" s="5"/>
      <c r="N5" s="5"/>
      <c r="O5" s="5"/>
      <c r="P5" s="46"/>
      <c r="Q5" s="23"/>
    </row>
    <row r="6" spans="1:17" x14ac:dyDescent="0.25">
      <c r="A6" s="4">
        <v>4</v>
      </c>
      <c r="B6" s="32" t="s">
        <v>215</v>
      </c>
      <c r="C6" s="5" t="s">
        <v>11</v>
      </c>
      <c r="D6" s="26" t="s">
        <v>17</v>
      </c>
      <c r="E6" s="5"/>
      <c r="F6" s="5"/>
      <c r="G6" s="59">
        <v>878931</v>
      </c>
      <c r="H6" s="59">
        <v>2015</v>
      </c>
      <c r="I6" s="5" t="s">
        <v>184</v>
      </c>
      <c r="J6" s="5" t="s">
        <v>185</v>
      </c>
      <c r="K6" s="56">
        <v>2010</v>
      </c>
      <c r="L6" s="56">
        <v>801940</v>
      </c>
      <c r="M6" s="5">
        <v>714.64</v>
      </c>
      <c r="N6" s="5">
        <v>108818.96</v>
      </c>
      <c r="O6" s="5"/>
      <c r="P6" s="46">
        <v>7.476</v>
      </c>
      <c r="Q6" s="23"/>
    </row>
    <row r="7" spans="1:17" s="11" customFormat="1" ht="15.75" customHeight="1" x14ac:dyDescent="0.25">
      <c r="A7" s="18">
        <v>2</v>
      </c>
      <c r="B7" s="30"/>
      <c r="C7" s="19" t="s">
        <v>7</v>
      </c>
      <c r="D7" s="19" t="s">
        <v>18</v>
      </c>
      <c r="E7" s="19" t="s">
        <v>21</v>
      </c>
      <c r="F7" s="19">
        <v>102</v>
      </c>
      <c r="G7" s="35">
        <f>G8</f>
        <v>60.111842845385667</v>
      </c>
      <c r="H7" s="19"/>
      <c r="I7" s="19"/>
      <c r="J7" s="19"/>
      <c r="K7" s="19"/>
      <c r="L7" s="19"/>
      <c r="M7" s="1"/>
      <c r="N7" s="1"/>
      <c r="O7" s="1"/>
      <c r="P7" s="44"/>
      <c r="Q7" s="22"/>
    </row>
    <row r="8" spans="1:17" ht="15" customHeight="1" x14ac:dyDescent="0.25">
      <c r="A8" s="2">
        <v>3</v>
      </c>
      <c r="B8" s="31"/>
      <c r="C8" s="3" t="s">
        <v>8</v>
      </c>
      <c r="D8" s="3" t="s">
        <v>22</v>
      </c>
      <c r="E8" s="3"/>
      <c r="F8" s="3">
        <v>10201</v>
      </c>
      <c r="G8" s="34">
        <f>IF(LOG((100*G9/G10))&lt;=LOG(M10),0,IF(LOG((100*G9/G10))&gt;=LOG(N10),100,IF(AND(LOG(M10)&lt;=LOG((100*G9/G10)), LOG((100*G9/G10))&lt;=LOG(N10)),100*(1-(LOG((100*G9/G10))-LOG(M10))/(LOG(N10)-LOG(M10))),NAN)))</f>
        <v>60.111842845385667</v>
      </c>
      <c r="H8" s="3"/>
      <c r="I8" s="3"/>
      <c r="J8" s="3"/>
      <c r="K8" s="3"/>
      <c r="L8" s="3"/>
      <c r="M8" s="3"/>
      <c r="N8" s="3"/>
      <c r="O8" s="3"/>
      <c r="P8" s="45"/>
      <c r="Q8" s="23" t="s">
        <v>23</v>
      </c>
    </row>
    <row r="9" spans="1:17" x14ac:dyDescent="0.25">
      <c r="A9" s="4">
        <v>4</v>
      </c>
      <c r="B9" s="32" t="s">
        <v>215</v>
      </c>
      <c r="C9" s="5" t="s">
        <v>11</v>
      </c>
      <c r="D9" s="26" t="s">
        <v>24</v>
      </c>
      <c r="E9" s="5"/>
      <c r="F9" s="5"/>
      <c r="G9" s="59">
        <v>50611</v>
      </c>
      <c r="H9" s="59">
        <v>2015</v>
      </c>
      <c r="I9" s="5" t="s">
        <v>184</v>
      </c>
      <c r="J9" s="5">
        <v>1</v>
      </c>
      <c r="K9" s="56">
        <v>2010</v>
      </c>
      <c r="L9" s="56">
        <v>38236</v>
      </c>
      <c r="M9" s="5"/>
      <c r="N9" s="5"/>
      <c r="O9" s="5"/>
      <c r="P9" s="46"/>
      <c r="Q9" s="23"/>
    </row>
    <row r="10" spans="1:17" x14ac:dyDescent="0.25">
      <c r="A10" s="4">
        <v>4</v>
      </c>
      <c r="B10" s="32" t="s">
        <v>215</v>
      </c>
      <c r="C10" s="5" t="s">
        <v>11</v>
      </c>
      <c r="D10" s="26" t="s">
        <v>25</v>
      </c>
      <c r="E10" s="5"/>
      <c r="F10" s="5"/>
      <c r="G10" s="59">
        <v>606991</v>
      </c>
      <c r="H10" s="59">
        <v>2015</v>
      </c>
      <c r="I10" s="5" t="s">
        <v>184</v>
      </c>
      <c r="J10" s="5">
        <v>1</v>
      </c>
      <c r="K10" s="56">
        <v>2010</v>
      </c>
      <c r="L10" s="56">
        <v>539384</v>
      </c>
      <c r="M10" s="5">
        <v>2.92</v>
      </c>
      <c r="N10" s="5">
        <v>40.53</v>
      </c>
      <c r="O10" s="5"/>
      <c r="P10" s="46"/>
      <c r="Q10" s="23"/>
    </row>
    <row r="11" spans="1:17" s="11" customFormat="1" ht="15.75" customHeight="1" x14ac:dyDescent="0.25">
      <c r="A11" s="18">
        <v>2</v>
      </c>
      <c r="B11" s="30"/>
      <c r="C11" s="19" t="s">
        <v>7</v>
      </c>
      <c r="D11" s="19" t="s">
        <v>26</v>
      </c>
      <c r="E11" s="19" t="s">
        <v>26</v>
      </c>
      <c r="F11" s="19">
        <v>103</v>
      </c>
      <c r="G11" s="35">
        <f>G12</f>
        <v>21.391036608697789</v>
      </c>
      <c r="H11" s="19"/>
      <c r="I11" s="19"/>
      <c r="J11" s="19"/>
      <c r="K11" s="19"/>
      <c r="L11" s="19"/>
      <c r="M11" s="1"/>
      <c r="N11" s="1"/>
      <c r="O11" s="1"/>
      <c r="P11" s="44"/>
      <c r="Q11" s="22"/>
    </row>
    <row r="12" spans="1:17" ht="15" customHeight="1" x14ac:dyDescent="0.25">
      <c r="A12" s="2">
        <v>3</v>
      </c>
      <c r="B12" s="31"/>
      <c r="C12" s="3" t="s">
        <v>8</v>
      </c>
      <c r="D12" s="3" t="s">
        <v>39</v>
      </c>
      <c r="E12" s="3"/>
      <c r="F12" s="3">
        <v>10301</v>
      </c>
      <c r="G12" s="63">
        <f>IF((G13/G14)&lt;0,0,IF((G13/G14)&gt;=O14,100,IF(AND(0&lt;=(G13/G14),(G13/G14)&lt;O14),(100*(1-ABS(((G13/G14)/P14)-O14)/O14))*1000000,NAN)))</f>
        <v>21.391036608697789</v>
      </c>
      <c r="H12" s="3"/>
      <c r="I12" s="3"/>
      <c r="J12" s="3"/>
      <c r="K12" s="3"/>
      <c r="L12" s="3"/>
      <c r="M12" s="3"/>
      <c r="N12" s="3"/>
      <c r="O12" s="3"/>
      <c r="P12" s="45"/>
      <c r="Q12" s="23" t="s">
        <v>225</v>
      </c>
    </row>
    <row r="13" spans="1:17" ht="15.75" x14ac:dyDescent="0.25">
      <c r="A13" s="4">
        <v>4</v>
      </c>
      <c r="B13" s="32" t="s">
        <v>216</v>
      </c>
      <c r="C13" s="5" t="s">
        <v>11</v>
      </c>
      <c r="D13" s="26" t="s">
        <v>12</v>
      </c>
      <c r="E13" s="5"/>
      <c r="F13" s="5"/>
      <c r="G13" s="49">
        <f>G5</f>
        <v>211771</v>
      </c>
      <c r="H13" s="5"/>
      <c r="I13" s="5"/>
      <c r="J13" s="5"/>
      <c r="K13" s="5"/>
      <c r="L13" s="5"/>
      <c r="M13" s="5"/>
      <c r="N13" s="5"/>
      <c r="O13" s="5"/>
      <c r="P13" s="46"/>
      <c r="Q13" s="23"/>
    </row>
    <row r="14" spans="1:17" x14ac:dyDescent="0.25">
      <c r="A14" s="4">
        <v>4</v>
      </c>
      <c r="B14" s="32" t="s">
        <v>215</v>
      </c>
      <c r="C14" s="5" t="s">
        <v>11</v>
      </c>
      <c r="D14" s="26" t="s">
        <v>218</v>
      </c>
      <c r="E14" s="5"/>
      <c r="F14" s="5"/>
      <c r="G14" s="71">
        <v>153.95901000000001</v>
      </c>
      <c r="H14" s="59">
        <v>2015</v>
      </c>
      <c r="I14" s="5" t="s">
        <v>202</v>
      </c>
      <c r="J14" s="5" t="s">
        <v>186</v>
      </c>
      <c r="K14" s="56">
        <v>2010</v>
      </c>
      <c r="L14" s="56">
        <v>129</v>
      </c>
      <c r="M14" s="5"/>
      <c r="N14" s="5"/>
      <c r="O14" s="6">
        <v>857370000</v>
      </c>
      <c r="P14" s="46">
        <v>7.5</v>
      </c>
      <c r="Q14" s="23"/>
    </row>
    <row r="15" spans="1:17" s="11" customFormat="1" ht="15.75" customHeight="1" x14ac:dyDescent="0.25">
      <c r="A15" s="18">
        <v>2</v>
      </c>
      <c r="B15" s="30"/>
      <c r="C15" s="19" t="s">
        <v>7</v>
      </c>
      <c r="D15" s="19" t="s">
        <v>38</v>
      </c>
      <c r="E15" s="19" t="s">
        <v>38</v>
      </c>
      <c r="F15" s="19">
        <v>104</v>
      </c>
      <c r="G15" s="35">
        <f>AVERAGE(G16,G19)</f>
        <v>68.010230448840176</v>
      </c>
      <c r="H15" s="19"/>
      <c r="I15" s="19"/>
      <c r="J15" s="19"/>
      <c r="K15" s="19"/>
      <c r="L15" s="19"/>
      <c r="M15" s="1"/>
      <c r="N15" s="1"/>
      <c r="O15" s="1"/>
      <c r="P15" s="44"/>
      <c r="Q15" s="22"/>
    </row>
    <row r="16" spans="1:17" ht="15" customHeight="1" x14ac:dyDescent="0.25">
      <c r="A16" s="2">
        <v>3</v>
      </c>
      <c r="B16" s="31"/>
      <c r="C16" s="3" t="s">
        <v>8</v>
      </c>
      <c r="D16" s="3" t="s">
        <v>41</v>
      </c>
      <c r="E16" s="3"/>
      <c r="F16" s="3">
        <v>10401</v>
      </c>
      <c r="G16" s="34">
        <f>IF(POWER((100*(G17/G18)),P18)&gt;=POWER(N18,P18),0,IF(POWER((100*(G17/G18)),P18)&lt;=POWER(M18,P18),100,IF(AND(POWER(M18,P18)&lt;POWER((100*(G17/G18)),P18),POWER((100*(G17/G18)),P18)&lt;POWER(N18,P18)),100*(1-((POWER((100*(G17/G18)),P18)-POWER(M18,P18))/(POWER(N18,P18)-POWER(M18,P18)))),NAN)))</f>
        <v>71.21920201170964</v>
      </c>
      <c r="H16" s="3"/>
      <c r="I16" s="3"/>
      <c r="J16" s="3"/>
      <c r="K16" s="3"/>
      <c r="L16" s="3"/>
      <c r="M16" s="3"/>
      <c r="N16" s="3"/>
      <c r="O16" s="3"/>
      <c r="P16" s="45"/>
      <c r="Q16" s="23" t="s">
        <v>46</v>
      </c>
    </row>
    <row r="17" spans="1:17" x14ac:dyDescent="0.25">
      <c r="A17" s="4">
        <v>4</v>
      </c>
      <c r="B17" s="32" t="s">
        <v>215</v>
      </c>
      <c r="C17" s="5" t="s">
        <v>11</v>
      </c>
      <c r="D17" s="26" t="s">
        <v>42</v>
      </c>
      <c r="E17" s="5"/>
      <c r="F17" s="5"/>
      <c r="G17" s="59">
        <v>14483</v>
      </c>
      <c r="H17" s="59">
        <v>2015</v>
      </c>
      <c r="I17" s="5" t="s">
        <v>184</v>
      </c>
      <c r="J17" s="5">
        <v>1</v>
      </c>
      <c r="K17" s="56">
        <v>2010</v>
      </c>
      <c r="L17" s="56">
        <v>17087</v>
      </c>
      <c r="M17" s="5"/>
      <c r="N17" s="5"/>
      <c r="O17" s="5"/>
      <c r="P17" s="46"/>
      <c r="Q17" s="23"/>
    </row>
    <row r="18" spans="1:17" x14ac:dyDescent="0.25">
      <c r="A18" s="4">
        <v>4</v>
      </c>
      <c r="B18" s="32" t="s">
        <v>215</v>
      </c>
      <c r="C18" s="5" t="s">
        <v>11</v>
      </c>
      <c r="D18" s="26" t="s">
        <v>43</v>
      </c>
      <c r="E18" s="5"/>
      <c r="F18" s="5"/>
      <c r="G18" s="59">
        <v>404681</v>
      </c>
      <c r="H18" s="59">
        <v>2015</v>
      </c>
      <c r="I18" s="5" t="s">
        <v>184</v>
      </c>
      <c r="J18" s="5">
        <v>1</v>
      </c>
      <c r="K18" s="56">
        <v>2010</v>
      </c>
      <c r="L18" s="56">
        <v>362766</v>
      </c>
      <c r="M18" s="7">
        <v>1</v>
      </c>
      <c r="N18" s="5">
        <v>28.2</v>
      </c>
      <c r="O18" s="5"/>
      <c r="P18" s="46">
        <v>0.25</v>
      </c>
      <c r="Q18" s="23"/>
    </row>
    <row r="19" spans="1:17" ht="15" customHeight="1" x14ac:dyDescent="0.25">
      <c r="A19" s="2">
        <v>3</v>
      </c>
      <c r="B19" s="31"/>
      <c r="C19" s="3" t="s">
        <v>8</v>
      </c>
      <c r="D19" s="3" t="s">
        <v>44</v>
      </c>
      <c r="E19" s="3"/>
      <c r="F19" s="3">
        <v>10402</v>
      </c>
      <c r="G19" s="34">
        <f>IF((100*(G20/G21))&lt;=M21,0,IF((100*(G20/G21))&gt;=N21,100,IF(AND(M21&lt;(100*(G20/G21)),(100*(G20/G21))&lt;N21),100*(((100*(G20/G21))-M21)/(N21-M21)),NAN)))</f>
        <v>64.801258885970711</v>
      </c>
      <c r="H19" s="3"/>
      <c r="I19" s="3"/>
      <c r="J19" s="3"/>
      <c r="K19" s="3"/>
      <c r="L19" s="3"/>
      <c r="M19" s="3"/>
      <c r="N19" s="3"/>
      <c r="O19" s="3"/>
      <c r="P19" s="45"/>
      <c r="Q19" s="23" t="s">
        <v>45</v>
      </c>
    </row>
    <row r="20" spans="1:17" x14ac:dyDescent="0.25">
      <c r="A20" s="4">
        <v>4</v>
      </c>
      <c r="B20" s="32" t="s">
        <v>215</v>
      </c>
      <c r="C20" s="5" t="s">
        <v>11</v>
      </c>
      <c r="D20" s="26" t="s">
        <v>47</v>
      </c>
      <c r="E20" s="5"/>
      <c r="F20" s="5"/>
      <c r="G20" s="59">
        <v>390199</v>
      </c>
      <c r="H20" s="59">
        <v>2015</v>
      </c>
      <c r="I20" s="5" t="s">
        <v>184</v>
      </c>
      <c r="J20" s="5">
        <v>1</v>
      </c>
      <c r="K20" s="56">
        <v>2010</v>
      </c>
      <c r="L20" s="56">
        <v>345679</v>
      </c>
      <c r="M20" s="5"/>
      <c r="N20" s="5"/>
      <c r="O20" s="5"/>
      <c r="P20" s="46"/>
      <c r="Q20" s="23"/>
    </row>
    <row r="21" spans="1:17" x14ac:dyDescent="0.25">
      <c r="A21" s="4">
        <v>4</v>
      </c>
      <c r="B21" s="65" t="s">
        <v>215</v>
      </c>
      <c r="C21" s="5" t="s">
        <v>11</v>
      </c>
      <c r="D21" s="26" t="s">
        <v>101</v>
      </c>
      <c r="E21" s="5"/>
      <c r="F21" s="5"/>
      <c r="G21" s="59">
        <v>657603</v>
      </c>
      <c r="H21" s="59">
        <v>2015</v>
      </c>
      <c r="I21" s="67" t="s">
        <v>184</v>
      </c>
      <c r="J21" s="5">
        <v>1</v>
      </c>
      <c r="K21" s="66">
        <v>2010</v>
      </c>
      <c r="L21" s="66">
        <v>577620</v>
      </c>
      <c r="M21" s="5">
        <v>30.5</v>
      </c>
      <c r="N21" s="5">
        <v>75</v>
      </c>
      <c r="O21" s="5"/>
      <c r="P21" s="46"/>
      <c r="Q21" s="23"/>
    </row>
    <row r="22" spans="1:17" s="10" customFormat="1" ht="15.75" customHeight="1" x14ac:dyDescent="0.25">
      <c r="A22" s="16">
        <v>1</v>
      </c>
      <c r="B22" s="29"/>
      <c r="C22" s="17" t="s">
        <v>5</v>
      </c>
      <c r="D22" s="17" t="s">
        <v>28</v>
      </c>
      <c r="E22" s="17"/>
      <c r="F22" s="17">
        <v>2</v>
      </c>
      <c r="G22" s="36">
        <f>AVERAGE(G23,G36,G40,G46,G53)</f>
        <v>59.066216212162296</v>
      </c>
      <c r="H22" s="17"/>
      <c r="I22" s="17"/>
      <c r="J22" s="17"/>
      <c r="K22" s="17"/>
      <c r="L22" s="17"/>
      <c r="M22" s="17"/>
      <c r="N22" s="17"/>
      <c r="O22" s="17"/>
      <c r="P22" s="43"/>
      <c r="Q22" s="21" t="s">
        <v>29</v>
      </c>
    </row>
    <row r="23" spans="1:17" s="11" customFormat="1" ht="15.75" customHeight="1" x14ac:dyDescent="0.25">
      <c r="A23" s="18">
        <v>2</v>
      </c>
      <c r="B23" s="30"/>
      <c r="C23" s="19" t="s">
        <v>7</v>
      </c>
      <c r="D23" s="19" t="s">
        <v>48</v>
      </c>
      <c r="E23" s="19" t="s">
        <v>48</v>
      </c>
      <c r="F23" s="19">
        <v>201</v>
      </c>
      <c r="G23" s="35">
        <f>AVERAGE(G24,G27,G30,G33)</f>
        <v>77.067442713770816</v>
      </c>
      <c r="H23" s="19"/>
      <c r="I23" s="19"/>
      <c r="J23" s="19"/>
      <c r="K23" s="19"/>
      <c r="L23" s="19"/>
      <c r="M23" s="1"/>
      <c r="N23" s="1"/>
      <c r="O23" s="1"/>
      <c r="P23" s="44"/>
      <c r="Q23" s="22"/>
    </row>
    <row r="24" spans="1:17" ht="15" customHeight="1" x14ac:dyDescent="0.25">
      <c r="A24" s="2">
        <v>3</v>
      </c>
      <c r="B24" s="31"/>
      <c r="C24" s="3" t="s">
        <v>8</v>
      </c>
      <c r="D24" s="3" t="s">
        <v>49</v>
      </c>
      <c r="E24" s="3"/>
      <c r="F24" s="3">
        <v>20101</v>
      </c>
      <c r="G24" s="38">
        <f>IF((100*(G25/G26))&lt;=M26,0,IF((100*(G25/G26))&gt;=N26,100,IF(AND(M26&lt;(100*(G25/G26)),(100*(G25/G26))&lt;N26),100*(((100*(G25/G26))-M26)/(N26-M26)),NAN)))</f>
        <v>76.841380916014856</v>
      </c>
      <c r="H24" s="3"/>
      <c r="I24" s="3"/>
      <c r="J24" s="3"/>
      <c r="K24" s="3"/>
      <c r="L24" s="3"/>
      <c r="M24" s="3"/>
      <c r="N24" s="3"/>
      <c r="O24" s="3"/>
      <c r="P24" s="45"/>
      <c r="Q24" s="23" t="s">
        <v>50</v>
      </c>
    </row>
    <row r="25" spans="1:17" x14ac:dyDescent="0.25">
      <c r="A25" s="4">
        <v>4</v>
      </c>
      <c r="B25" s="32" t="s">
        <v>215</v>
      </c>
      <c r="C25" s="5" t="s">
        <v>11</v>
      </c>
      <c r="D25" s="26" t="s">
        <v>51</v>
      </c>
      <c r="E25" s="5"/>
      <c r="F25" s="5"/>
      <c r="G25" s="59">
        <v>227659</v>
      </c>
      <c r="H25" s="59">
        <v>2015</v>
      </c>
      <c r="I25" s="5" t="s">
        <v>184</v>
      </c>
      <c r="J25" s="5">
        <v>2</v>
      </c>
      <c r="K25" s="57">
        <v>2010</v>
      </c>
      <c r="L25" s="57">
        <v>192995</v>
      </c>
      <c r="M25" s="5"/>
      <c r="N25" s="5"/>
      <c r="O25" s="5"/>
      <c r="P25" s="46"/>
      <c r="Q25" s="23"/>
    </row>
    <row r="26" spans="1:17" x14ac:dyDescent="0.25">
      <c r="A26" s="4">
        <v>4</v>
      </c>
      <c r="B26" s="32" t="s">
        <v>215</v>
      </c>
      <c r="C26" s="5" t="s">
        <v>11</v>
      </c>
      <c r="D26" s="26" t="s">
        <v>52</v>
      </c>
      <c r="E26" s="5"/>
      <c r="F26" s="5"/>
      <c r="G26" s="59">
        <v>239011</v>
      </c>
      <c r="H26" s="59">
        <v>2015</v>
      </c>
      <c r="I26" s="5" t="s">
        <v>184</v>
      </c>
      <c r="J26" s="5" t="s">
        <v>187</v>
      </c>
      <c r="K26" s="57">
        <v>2010</v>
      </c>
      <c r="L26" s="57">
        <v>205832</v>
      </c>
      <c r="M26" s="5">
        <v>84.8</v>
      </c>
      <c r="N26" s="5">
        <v>98.4</v>
      </c>
      <c r="O26" s="5"/>
      <c r="P26" s="46"/>
      <c r="Q26" s="23"/>
    </row>
    <row r="27" spans="1:17" ht="15" customHeight="1" x14ac:dyDescent="0.25">
      <c r="A27" s="2">
        <v>3</v>
      </c>
      <c r="B27" s="31"/>
      <c r="C27" s="3" t="s">
        <v>8</v>
      </c>
      <c r="D27" s="3" t="s">
        <v>53</v>
      </c>
      <c r="E27" s="3"/>
      <c r="F27" s="3">
        <v>20102</v>
      </c>
      <c r="G27" s="38">
        <f>IF((100*(G28/G29))&lt;=M29,0,IF((100*(G28/G29))&gt;=N29,100,IF(AND(M29&lt;(100*(G28/G29)),(100*(G28/G29))&lt;N29),100*(((100*(G28/G29))-M29)/(N29-M29)),NAN)))</f>
        <v>97.322298973687396</v>
      </c>
      <c r="H27" s="3"/>
      <c r="I27" s="3"/>
      <c r="J27" s="3"/>
      <c r="K27" s="3"/>
      <c r="L27" s="3"/>
      <c r="M27" s="3"/>
      <c r="N27" s="3"/>
      <c r="O27" s="3"/>
      <c r="P27" s="45"/>
      <c r="Q27" s="23" t="s">
        <v>54</v>
      </c>
    </row>
    <row r="28" spans="1:17" x14ac:dyDescent="0.25">
      <c r="A28" s="4">
        <v>4</v>
      </c>
      <c r="B28" s="32" t="s">
        <v>215</v>
      </c>
      <c r="C28" s="5" t="s">
        <v>11</v>
      </c>
      <c r="D28" s="26" t="s">
        <v>55</v>
      </c>
      <c r="E28" s="5"/>
      <c r="F28" s="5"/>
      <c r="G28" s="59">
        <v>235811</v>
      </c>
      <c r="H28" s="59">
        <v>2015</v>
      </c>
      <c r="I28" s="5" t="s">
        <v>184</v>
      </c>
      <c r="J28" s="5">
        <v>2</v>
      </c>
      <c r="K28" s="58">
        <v>2010</v>
      </c>
      <c r="L28" s="58">
        <v>199860</v>
      </c>
      <c r="M28" s="5"/>
      <c r="N28" s="5"/>
      <c r="O28" s="5"/>
      <c r="P28" s="46"/>
      <c r="Q28" s="23"/>
    </row>
    <row r="29" spans="1:17" ht="15.75" x14ac:dyDescent="0.25">
      <c r="A29" s="4">
        <v>4</v>
      </c>
      <c r="B29" s="65" t="s">
        <v>216</v>
      </c>
      <c r="C29" s="5" t="s">
        <v>11</v>
      </c>
      <c r="D29" s="26" t="s">
        <v>52</v>
      </c>
      <c r="E29" s="5"/>
      <c r="F29" s="5"/>
      <c r="G29" s="33">
        <f>G26</f>
        <v>239011</v>
      </c>
      <c r="H29" s="5"/>
      <c r="I29" s="5"/>
      <c r="J29" s="5"/>
      <c r="K29" s="5"/>
      <c r="L29" s="5"/>
      <c r="M29" s="5">
        <v>50</v>
      </c>
      <c r="N29" s="5">
        <v>100</v>
      </c>
      <c r="O29" s="5"/>
      <c r="P29" s="46"/>
      <c r="Q29" s="23"/>
    </row>
    <row r="30" spans="1:17" ht="15" customHeight="1" x14ac:dyDescent="0.25">
      <c r="A30" s="2">
        <v>3</v>
      </c>
      <c r="B30" s="31"/>
      <c r="C30" s="3" t="s">
        <v>8</v>
      </c>
      <c r="D30" s="3" t="s">
        <v>56</v>
      </c>
      <c r="E30" s="3"/>
      <c r="F30" s="3">
        <v>20103</v>
      </c>
      <c r="G30" s="34">
        <f>IF(POWER((100*(G31/G32)),P32)&lt;=POWER(M32,P32),0,IF(POWER((100*(G31/G32)),P32)&gt;=POWER(N32,P32),100,IF(AND(POWER(M32,P32)&lt;POWER((100*(G31/G32)),P32),POWER((100*(G31/G32)),P32)&lt;POWER(N32,P32)),100*(((POWER((100*(G31/G32)),P32)-POWER(M32,P32))/(POWER(N32,P32)-POWER(M32,P32)))),NAN)))</f>
        <v>100</v>
      </c>
      <c r="H30" s="3"/>
      <c r="I30" s="3"/>
      <c r="J30" s="3"/>
      <c r="K30" s="3"/>
      <c r="L30" s="3"/>
      <c r="M30" s="3"/>
      <c r="N30" s="3"/>
      <c r="O30" s="3"/>
      <c r="P30" s="45"/>
      <c r="Q30" s="23" t="s">
        <v>57</v>
      </c>
    </row>
    <row r="31" spans="1:17" x14ac:dyDescent="0.25">
      <c r="A31" s="4">
        <v>4</v>
      </c>
      <c r="B31" s="32" t="s">
        <v>215</v>
      </c>
      <c r="C31" s="5" t="s">
        <v>11</v>
      </c>
      <c r="D31" s="26" t="s">
        <v>58</v>
      </c>
      <c r="E31" s="5"/>
      <c r="F31" s="5"/>
      <c r="G31" s="59">
        <v>225715</v>
      </c>
      <c r="H31" s="59">
        <v>2015</v>
      </c>
      <c r="I31" s="5" t="s">
        <v>184</v>
      </c>
      <c r="J31" s="5">
        <v>2</v>
      </c>
      <c r="K31" s="60">
        <v>2010</v>
      </c>
      <c r="L31" s="60">
        <v>187166.819929277</v>
      </c>
      <c r="M31" s="5"/>
      <c r="N31" s="5"/>
      <c r="O31" s="5"/>
      <c r="P31" s="46"/>
      <c r="Q31" s="23"/>
    </row>
    <row r="32" spans="1:17" ht="15.75" x14ac:dyDescent="0.25">
      <c r="A32" s="4">
        <v>4</v>
      </c>
      <c r="B32" s="32" t="s">
        <v>216</v>
      </c>
      <c r="C32" s="5" t="s">
        <v>11</v>
      </c>
      <c r="D32" s="26" t="s">
        <v>59</v>
      </c>
      <c r="E32" s="5"/>
      <c r="F32" s="5"/>
      <c r="G32" s="33">
        <f>G26</f>
        <v>239011</v>
      </c>
      <c r="H32" s="59">
        <v>2015</v>
      </c>
      <c r="I32" s="5" t="s">
        <v>184</v>
      </c>
      <c r="J32" s="5" t="s">
        <v>187</v>
      </c>
      <c r="K32" s="60">
        <v>2010</v>
      </c>
      <c r="L32" s="60">
        <v>205832</v>
      </c>
      <c r="M32" s="5">
        <v>2.5</v>
      </c>
      <c r="N32" s="5">
        <v>57.8</v>
      </c>
      <c r="O32" s="5"/>
      <c r="P32" s="47">
        <v>0.25</v>
      </c>
      <c r="Q32" s="23"/>
    </row>
    <row r="33" spans="1:17" ht="15" customHeight="1" x14ac:dyDescent="0.25">
      <c r="A33" s="2">
        <v>3</v>
      </c>
      <c r="B33" s="31"/>
      <c r="C33" s="3" t="s">
        <v>8</v>
      </c>
      <c r="D33" s="3" t="s">
        <v>60</v>
      </c>
      <c r="E33" s="3"/>
      <c r="F33" s="3">
        <v>20104</v>
      </c>
      <c r="G33" s="63">
        <f>IF(OR((G34/G35)&lt;=0,(G34/G35)&gt;=2*O35),0,IF((G34/G35)=O35,100,IF(AND(0&lt;=(G34/G35),(G34/G35)&lt;2*O35),100*(1-ABS((G34/G35)-O35)/O35),NAN)))</f>
        <v>34.106090965380986</v>
      </c>
      <c r="H33" s="3"/>
      <c r="I33" s="3"/>
      <c r="J33" s="3"/>
      <c r="K33" s="3"/>
      <c r="L33" s="3"/>
      <c r="M33" s="3"/>
      <c r="N33" s="3"/>
      <c r="O33" s="3"/>
      <c r="P33" s="45"/>
      <c r="Q33" s="23" t="s">
        <v>61</v>
      </c>
    </row>
    <row r="34" spans="1:17" x14ac:dyDescent="0.25">
      <c r="A34" s="4">
        <v>4</v>
      </c>
      <c r="B34" s="32" t="s">
        <v>215</v>
      </c>
      <c r="C34" s="5" t="s">
        <v>11</v>
      </c>
      <c r="D34" s="26" t="s">
        <v>62</v>
      </c>
      <c r="E34" s="5"/>
      <c r="F34" s="5"/>
      <c r="G34" s="59">
        <v>787641</v>
      </c>
      <c r="H34" s="59">
        <v>2015</v>
      </c>
      <c r="I34" s="5" t="s">
        <v>203</v>
      </c>
      <c r="J34" s="5">
        <v>2</v>
      </c>
      <c r="K34" s="60">
        <v>2010</v>
      </c>
      <c r="L34" s="60">
        <v>730453</v>
      </c>
      <c r="M34" s="5"/>
      <c r="N34" s="5"/>
      <c r="O34" s="5"/>
      <c r="P34" s="46"/>
      <c r="Q34" s="23"/>
    </row>
    <row r="35" spans="1:17" ht="15.75" x14ac:dyDescent="0.25">
      <c r="A35" s="4">
        <v>4</v>
      </c>
      <c r="B35" s="32" t="s">
        <v>216</v>
      </c>
      <c r="C35" s="5" t="s">
        <v>11</v>
      </c>
      <c r="D35" s="26" t="s">
        <v>218</v>
      </c>
      <c r="E35" s="5"/>
      <c r="F35" s="5"/>
      <c r="G35" s="33">
        <f>G14</f>
        <v>153.95901000000001</v>
      </c>
      <c r="H35" s="5"/>
      <c r="I35" s="5"/>
      <c r="J35" s="5"/>
      <c r="K35" s="5"/>
      <c r="L35" s="5"/>
      <c r="M35" s="5"/>
      <c r="N35" s="5"/>
      <c r="O35" s="5">
        <v>15000</v>
      </c>
      <c r="P35" s="46"/>
      <c r="Q35" s="23"/>
    </row>
    <row r="36" spans="1:17" s="11" customFormat="1" ht="15.75" customHeight="1" x14ac:dyDescent="0.25">
      <c r="A36" s="18">
        <v>2</v>
      </c>
      <c r="B36" s="30"/>
      <c r="C36" s="19" t="s">
        <v>7</v>
      </c>
      <c r="D36" s="19" t="s">
        <v>63</v>
      </c>
      <c r="E36" s="19" t="s">
        <v>64</v>
      </c>
      <c r="F36" s="19">
        <v>202</v>
      </c>
      <c r="G36" s="39">
        <f>G37</f>
        <v>53.240566643251711</v>
      </c>
      <c r="H36" s="19"/>
      <c r="I36" s="19"/>
      <c r="J36" s="19"/>
      <c r="K36" s="19"/>
      <c r="L36" s="19"/>
      <c r="M36" s="1"/>
      <c r="N36" s="1"/>
      <c r="O36" s="1"/>
      <c r="P36" s="44"/>
      <c r="Q36" s="22"/>
    </row>
    <row r="37" spans="1:17" ht="15" customHeight="1" x14ac:dyDescent="0.25">
      <c r="A37" s="2">
        <v>3</v>
      </c>
      <c r="B37" s="31"/>
      <c r="C37" s="3" t="s">
        <v>8</v>
      </c>
      <c r="D37" s="3" t="s">
        <v>65</v>
      </c>
      <c r="E37" s="3"/>
      <c r="F37" s="3">
        <v>20201</v>
      </c>
      <c r="G37" s="38">
        <f>IF(SQRT((1000*(G38/G39)))&lt;=SQRT(M39),0,IF(SQRT((1000*(G38/G39)))&gt;=SQRT(N39),100,IF(AND(SQRT(M39)&lt;SQRT((1000*(G38/G39))),SQRT((1000*(G38/G39)))&lt;SQRT(N39)),100*((SQRT(1000*(G38/G39))-SQRT(M39))/(SQRT(N39)-SQRT(M39))),NAN)))</f>
        <v>53.240566643251711</v>
      </c>
      <c r="H37" s="3"/>
      <c r="I37" s="3"/>
      <c r="J37" s="3"/>
      <c r="K37" s="3"/>
      <c r="L37" s="3"/>
      <c r="M37" s="3"/>
      <c r="N37" s="3"/>
      <c r="O37" s="3"/>
      <c r="P37" s="45"/>
      <c r="Q37" s="23" t="s">
        <v>66</v>
      </c>
    </row>
    <row r="38" spans="1:17" x14ac:dyDescent="0.25">
      <c r="A38" s="4">
        <v>4</v>
      </c>
      <c r="B38" s="32" t="s">
        <v>215</v>
      </c>
      <c r="C38" s="5" t="s">
        <v>11</v>
      </c>
      <c r="D38" s="26" t="s">
        <v>67</v>
      </c>
      <c r="E38" s="5"/>
      <c r="F38" s="5"/>
      <c r="G38" s="59">
        <v>2052</v>
      </c>
      <c r="H38" s="59">
        <v>2015</v>
      </c>
      <c r="I38" s="5" t="s">
        <v>188</v>
      </c>
      <c r="J38" s="5">
        <v>2</v>
      </c>
      <c r="K38" s="60">
        <v>2010</v>
      </c>
      <c r="L38" s="60">
        <v>1624</v>
      </c>
      <c r="M38" s="5"/>
      <c r="N38" s="5"/>
      <c r="O38" s="5"/>
      <c r="P38" s="46"/>
      <c r="Q38" s="23"/>
    </row>
    <row r="39" spans="1:17" ht="15.75" x14ac:dyDescent="0.25">
      <c r="A39" s="4">
        <v>4</v>
      </c>
      <c r="B39" s="32" t="s">
        <v>216</v>
      </c>
      <c r="C39" s="5" t="s">
        <v>11</v>
      </c>
      <c r="D39" s="26" t="s">
        <v>17</v>
      </c>
      <c r="E39" s="5"/>
      <c r="F39" s="5"/>
      <c r="G39" s="33">
        <f>G6</f>
        <v>878931</v>
      </c>
      <c r="H39" s="5"/>
      <c r="I39" s="5"/>
      <c r="J39" s="5"/>
      <c r="K39" s="5"/>
      <c r="L39" s="5"/>
      <c r="M39" s="5">
        <v>0.01</v>
      </c>
      <c r="N39" s="5">
        <v>7.74</v>
      </c>
      <c r="O39" s="5"/>
      <c r="P39" s="46"/>
      <c r="Q39" s="23"/>
    </row>
    <row r="40" spans="1:17" s="11" customFormat="1" ht="15.75" customHeight="1" x14ac:dyDescent="0.25">
      <c r="A40" s="18">
        <v>2</v>
      </c>
      <c r="B40" s="30"/>
      <c r="C40" s="19" t="s">
        <v>7</v>
      </c>
      <c r="D40" s="19" t="s">
        <v>68</v>
      </c>
      <c r="E40" s="19" t="s">
        <v>69</v>
      </c>
      <c r="F40" s="19">
        <v>203</v>
      </c>
      <c r="G40" s="39">
        <f>AVERAGE(G41,G44)</f>
        <v>56.273042600595815</v>
      </c>
      <c r="H40" s="19"/>
      <c r="I40" s="19"/>
      <c r="J40" s="19"/>
      <c r="K40" s="19"/>
      <c r="L40" s="19"/>
      <c r="M40" s="1"/>
      <c r="N40" s="1"/>
      <c r="O40" s="1"/>
      <c r="P40" s="44"/>
      <c r="Q40" s="22"/>
    </row>
    <row r="41" spans="1:17" ht="15" customHeight="1" x14ac:dyDescent="0.25">
      <c r="A41" s="2">
        <v>3</v>
      </c>
      <c r="B41" s="31"/>
      <c r="C41" s="3" t="s">
        <v>8</v>
      </c>
      <c r="D41" s="3" t="s">
        <v>70</v>
      </c>
      <c r="E41" s="3"/>
      <c r="F41" s="3">
        <v>20301</v>
      </c>
      <c r="G41" s="64">
        <f>IF((100*(G42/G43))&lt;=M43,0,IF((100*(G42/G43))&gt;=N43,100,IF(AND(M43&lt;(100*(G42/G43)),(100*(G42/G43))&lt;N43),100*(G42/G43),NAN)))</f>
        <v>53.02839472040467</v>
      </c>
      <c r="H41" s="3"/>
      <c r="I41" s="3"/>
      <c r="J41" s="3"/>
      <c r="K41" s="3"/>
      <c r="L41" s="3"/>
      <c r="M41" s="3"/>
      <c r="N41" s="3"/>
      <c r="O41" s="3"/>
      <c r="P41" s="45"/>
      <c r="Q41" s="23" t="s">
        <v>71</v>
      </c>
    </row>
    <row r="42" spans="1:17" x14ac:dyDescent="0.25">
      <c r="A42" s="4">
        <v>4</v>
      </c>
      <c r="B42" s="32" t="s">
        <v>215</v>
      </c>
      <c r="C42" s="5" t="s">
        <v>11</v>
      </c>
      <c r="D42" s="26" t="s">
        <v>72</v>
      </c>
      <c r="E42" s="5"/>
      <c r="F42" s="5"/>
      <c r="G42" s="59">
        <v>466083</v>
      </c>
      <c r="H42" s="59">
        <v>2015</v>
      </c>
      <c r="I42" s="5" t="s">
        <v>184</v>
      </c>
      <c r="J42" s="5">
        <v>2</v>
      </c>
      <c r="K42" s="60">
        <v>2010</v>
      </c>
      <c r="L42" s="60">
        <v>286262</v>
      </c>
      <c r="M42" s="5"/>
      <c r="N42" s="5"/>
      <c r="O42" s="5"/>
      <c r="P42" s="46"/>
      <c r="Q42" s="23"/>
    </row>
    <row r="43" spans="1:17" ht="15.75" x14ac:dyDescent="0.25">
      <c r="A43" s="4">
        <v>4</v>
      </c>
      <c r="B43" s="32" t="s">
        <v>216</v>
      </c>
      <c r="C43" s="5" t="s">
        <v>11</v>
      </c>
      <c r="D43" s="26" t="s">
        <v>17</v>
      </c>
      <c r="E43" s="5"/>
      <c r="F43" s="5"/>
      <c r="G43" s="33">
        <f>G6</f>
        <v>878931</v>
      </c>
      <c r="H43" s="5"/>
      <c r="I43" s="5"/>
      <c r="J43" s="5"/>
      <c r="K43" s="5"/>
      <c r="L43" s="5"/>
      <c r="M43" s="5">
        <v>0</v>
      </c>
      <c r="N43" s="5">
        <v>100</v>
      </c>
      <c r="O43" s="5"/>
      <c r="P43" s="46"/>
      <c r="Q43" s="23"/>
    </row>
    <row r="44" spans="1:17" ht="15" customHeight="1" x14ac:dyDescent="0.25">
      <c r="A44" s="2">
        <v>3</v>
      </c>
      <c r="B44" s="31"/>
      <c r="C44" s="3" t="s">
        <v>8</v>
      </c>
      <c r="D44" s="3" t="s">
        <v>73</v>
      </c>
      <c r="E44" s="3"/>
      <c r="F44" s="3">
        <v>20302</v>
      </c>
      <c r="G44" s="64">
        <f>IF(POWER(G45,P45)&lt;=POWER(M45,P45),0,IF(POWER(G45,P45)&gt;=POWER(N45,P45),100,IF(AND(POWER(M45,P45)&lt;POWER(G45,P45),POWER(G45,P45)&lt;POWER(N45,P45)),100*((POWER(G45,P45)-POWER(M45,P45))/(POWER(N45,P45)-POWER(M45,P45))),NAN)))</f>
        <v>59.517690480786953</v>
      </c>
      <c r="H44" s="3"/>
      <c r="I44" s="3"/>
      <c r="J44" s="3"/>
      <c r="K44" s="3"/>
      <c r="L44" s="3"/>
      <c r="M44" s="3"/>
      <c r="N44" s="3"/>
      <c r="O44" s="3"/>
      <c r="P44" s="45"/>
      <c r="Q44" s="23" t="s">
        <v>226</v>
      </c>
    </row>
    <row r="45" spans="1:17" x14ac:dyDescent="0.25">
      <c r="A45" s="4">
        <v>4</v>
      </c>
      <c r="B45" s="32" t="s">
        <v>215</v>
      </c>
      <c r="C45" s="5" t="s">
        <v>11</v>
      </c>
      <c r="D45" s="26" t="s">
        <v>74</v>
      </c>
      <c r="E45" s="5"/>
      <c r="F45" s="5"/>
      <c r="G45" s="59">
        <v>19018.3021035491</v>
      </c>
      <c r="H45" s="59">
        <v>2015</v>
      </c>
      <c r="I45" s="5" t="s">
        <v>224</v>
      </c>
      <c r="J45" s="5">
        <v>2</v>
      </c>
      <c r="K45" s="60">
        <v>2013</v>
      </c>
      <c r="L45" s="60">
        <v>9762.6145729307409</v>
      </c>
      <c r="M45" s="5">
        <v>470</v>
      </c>
      <c r="N45" s="5">
        <v>87088</v>
      </c>
      <c r="O45" s="5"/>
      <c r="P45" s="47">
        <v>0.2</v>
      </c>
      <c r="Q45" s="23"/>
    </row>
    <row r="46" spans="1:17" s="11" customFormat="1" ht="15.75" customHeight="1" x14ac:dyDescent="0.25">
      <c r="A46" s="18">
        <v>2</v>
      </c>
      <c r="B46" s="30"/>
      <c r="C46" s="19" t="s">
        <v>7</v>
      </c>
      <c r="D46" s="19" t="s">
        <v>75</v>
      </c>
      <c r="E46" s="19" t="s">
        <v>75</v>
      </c>
      <c r="F46" s="19">
        <v>204</v>
      </c>
      <c r="G46" s="39">
        <f>AVERAGE(G47,G50)</f>
        <v>42.564700755804495</v>
      </c>
      <c r="H46" s="19"/>
      <c r="I46" s="19"/>
      <c r="J46" s="19"/>
      <c r="K46" s="19"/>
      <c r="L46" s="19"/>
      <c r="M46" s="1"/>
      <c r="N46" s="1"/>
      <c r="O46" s="1"/>
      <c r="P46" s="44"/>
      <c r="Q46" s="22"/>
    </row>
    <row r="47" spans="1:17" ht="15" customHeight="1" x14ac:dyDescent="0.25">
      <c r="A47" s="2">
        <v>3</v>
      </c>
      <c r="B47" s="31"/>
      <c r="C47" s="3" t="s">
        <v>8</v>
      </c>
      <c r="D47" s="3" t="s">
        <v>76</v>
      </c>
      <c r="E47" s="3"/>
      <c r="F47" s="3">
        <v>20401</v>
      </c>
      <c r="G47" s="37">
        <f>IF((1000000*(G48/G49))&lt;0,0,IF((1000000*(G48/G49))&gt;=O49,100,IF(AND(0&lt;=(1000000*(G48/G49)),(1000000*(G48/G49))&lt;O49),100*(1-ABS((1000000*(G48/G49))-O49)/O49),NAN)))</f>
        <v>0</v>
      </c>
      <c r="H47" s="3"/>
      <c r="I47" s="3"/>
      <c r="J47" s="3"/>
      <c r="K47" s="3"/>
      <c r="L47" s="3"/>
      <c r="M47" s="3"/>
      <c r="N47" s="3"/>
      <c r="O47" s="3"/>
      <c r="P47" s="45"/>
      <c r="Q47" s="23" t="s">
        <v>77</v>
      </c>
    </row>
    <row r="48" spans="1:17" x14ac:dyDescent="0.25">
      <c r="A48" s="4">
        <v>4</v>
      </c>
      <c r="B48" s="32" t="s">
        <v>215</v>
      </c>
      <c r="C48" s="5" t="s">
        <v>11</v>
      </c>
      <c r="D48" s="26" t="s">
        <v>78</v>
      </c>
      <c r="E48" s="5"/>
      <c r="F48" s="5"/>
      <c r="G48" s="59">
        <v>0</v>
      </c>
      <c r="H48" s="59">
        <v>2015</v>
      </c>
      <c r="I48" s="5"/>
      <c r="J48" s="5">
        <v>2</v>
      </c>
      <c r="K48" s="59">
        <v>2010</v>
      </c>
      <c r="L48" s="59">
        <v>0</v>
      </c>
      <c r="M48" s="5"/>
      <c r="N48" s="5"/>
      <c r="O48" s="5"/>
      <c r="P48" s="46"/>
      <c r="Q48" s="23"/>
    </row>
    <row r="49" spans="1:17" ht="15.75" x14ac:dyDescent="0.25">
      <c r="A49" s="4">
        <v>4</v>
      </c>
      <c r="B49" s="32" t="s">
        <v>216</v>
      </c>
      <c r="C49" s="5" t="s">
        <v>11</v>
      </c>
      <c r="D49" s="26" t="s">
        <v>17</v>
      </c>
      <c r="E49" s="5"/>
      <c r="F49" s="5"/>
      <c r="G49" s="33">
        <f>G6</f>
        <v>878931</v>
      </c>
      <c r="H49" s="5"/>
      <c r="I49" s="5"/>
      <c r="J49" s="5"/>
      <c r="K49" s="5"/>
      <c r="L49" s="5"/>
      <c r="M49" s="5"/>
      <c r="N49" s="5"/>
      <c r="O49" s="5">
        <v>80</v>
      </c>
      <c r="P49" s="46"/>
      <c r="Q49" s="23"/>
    </row>
    <row r="50" spans="1:17" ht="15" customHeight="1" x14ac:dyDescent="0.25">
      <c r="A50" s="2">
        <v>3</v>
      </c>
      <c r="B50" s="31"/>
      <c r="C50" s="3" t="s">
        <v>8</v>
      </c>
      <c r="D50" s="3" t="s">
        <v>79</v>
      </c>
      <c r="E50" s="3"/>
      <c r="F50" s="3">
        <v>20402</v>
      </c>
      <c r="G50" s="38">
        <f>IF((100000*(G51/G52))&gt;=N52,0,IF((100000*(G51/G52))&lt;=M52,100,IF(AND(M52&lt;(100000*(G51/G52)),(100000*(G51/G52))&lt;N52),100*(1-(((100000*(G51/G52))-M52)/(N52-M52))),NAN)))</f>
        <v>85.129401511608989</v>
      </c>
      <c r="H50" s="3"/>
      <c r="I50" s="3"/>
      <c r="J50" s="3"/>
      <c r="K50" s="3"/>
      <c r="L50" s="3"/>
      <c r="M50" s="3"/>
      <c r="N50" s="3"/>
      <c r="O50" s="3"/>
      <c r="P50" s="45"/>
      <c r="Q50" s="23" t="s">
        <v>80</v>
      </c>
    </row>
    <row r="51" spans="1:17" x14ac:dyDescent="0.25">
      <c r="A51" s="4">
        <v>4</v>
      </c>
      <c r="B51" s="32" t="s">
        <v>215</v>
      </c>
      <c r="C51" s="5" t="s">
        <v>11</v>
      </c>
      <c r="D51" s="26" t="s">
        <v>81</v>
      </c>
      <c r="E51" s="5"/>
      <c r="F51" s="5"/>
      <c r="G51" s="59">
        <v>48</v>
      </c>
      <c r="H51" s="59">
        <v>2015</v>
      </c>
      <c r="I51" s="5" t="s">
        <v>207</v>
      </c>
      <c r="J51" s="5">
        <v>2</v>
      </c>
      <c r="K51" s="59">
        <v>2010</v>
      </c>
      <c r="L51" s="59">
        <v>41</v>
      </c>
      <c r="M51" s="5"/>
      <c r="N51" s="5"/>
      <c r="O51" s="5"/>
      <c r="P51" s="46"/>
      <c r="Q51" s="23"/>
    </row>
    <row r="52" spans="1:17" ht="15.75" x14ac:dyDescent="0.25">
      <c r="A52" s="4">
        <v>4</v>
      </c>
      <c r="B52" s="32" t="s">
        <v>216</v>
      </c>
      <c r="C52" s="5" t="s">
        <v>11</v>
      </c>
      <c r="D52" s="26" t="s">
        <v>17</v>
      </c>
      <c r="E52" s="5"/>
      <c r="F52" s="5"/>
      <c r="G52" s="33">
        <f>G6</f>
        <v>878931</v>
      </c>
      <c r="H52" s="5"/>
      <c r="I52" s="5"/>
      <c r="J52" s="5"/>
      <c r="K52" s="5"/>
      <c r="L52" s="5"/>
      <c r="M52" s="5">
        <v>1</v>
      </c>
      <c r="N52" s="5">
        <v>31</v>
      </c>
      <c r="O52" s="5"/>
      <c r="P52" s="46"/>
      <c r="Q52" s="23"/>
    </row>
    <row r="53" spans="1:17" s="11" customFormat="1" ht="15.75" customHeight="1" x14ac:dyDescent="0.25">
      <c r="A53" s="18">
        <v>2</v>
      </c>
      <c r="B53" s="30"/>
      <c r="C53" s="19" t="s">
        <v>7</v>
      </c>
      <c r="D53" s="19" t="s">
        <v>82</v>
      </c>
      <c r="E53" s="19" t="s">
        <v>82</v>
      </c>
      <c r="F53" s="19">
        <v>205</v>
      </c>
      <c r="G53" s="39">
        <f>AVERAGE(G54,G57,G60)</f>
        <v>66.185328347388619</v>
      </c>
      <c r="H53" s="19"/>
      <c r="I53" s="19"/>
      <c r="J53" s="19"/>
      <c r="K53" s="19"/>
      <c r="L53" s="19"/>
      <c r="M53" s="1"/>
      <c r="N53" s="1"/>
      <c r="O53" s="1"/>
      <c r="P53" s="44"/>
      <c r="Q53" s="22"/>
    </row>
    <row r="54" spans="1:17" ht="15" customHeight="1" x14ac:dyDescent="0.25">
      <c r="A54" s="2">
        <v>3</v>
      </c>
      <c r="B54" s="31"/>
      <c r="C54" s="3" t="s">
        <v>8</v>
      </c>
      <c r="D54" s="3" t="s">
        <v>83</v>
      </c>
      <c r="E54" s="3"/>
      <c r="F54" s="3">
        <v>20501</v>
      </c>
      <c r="G54" s="37">
        <f>IF((G55/G56)&lt;0,0,IF((G55/G56)&gt;=O56,100,IF(AND(0&lt;=(G55/G56),(G55/G56)&lt;=O56),100*(1-(ABS(((G55/G56)-O56)/O56))),NAN)))</f>
        <v>100</v>
      </c>
      <c r="H54" s="3"/>
      <c r="I54" s="3"/>
      <c r="J54" s="3"/>
      <c r="K54" s="3"/>
      <c r="L54" s="3"/>
      <c r="M54" s="3"/>
      <c r="N54" s="3"/>
      <c r="O54" s="3"/>
      <c r="P54" s="45"/>
      <c r="Q54" s="23" t="s">
        <v>84</v>
      </c>
    </row>
    <row r="55" spans="1:17" x14ac:dyDescent="0.25">
      <c r="A55" s="4">
        <v>4</v>
      </c>
      <c r="B55" s="32" t="s">
        <v>215</v>
      </c>
      <c r="C55" s="5" t="s">
        <v>11</v>
      </c>
      <c r="D55" s="26" t="s">
        <v>85</v>
      </c>
      <c r="E55" s="5"/>
      <c r="F55" s="5"/>
      <c r="G55" s="59">
        <v>16760</v>
      </c>
      <c r="H55" s="59">
        <v>2015</v>
      </c>
      <c r="I55" s="5" t="s">
        <v>202</v>
      </c>
      <c r="J55" s="5">
        <v>2</v>
      </c>
      <c r="K55" s="59">
        <v>2010</v>
      </c>
      <c r="L55" s="59">
        <v>15688</v>
      </c>
      <c r="M55" s="5"/>
      <c r="N55" s="5"/>
      <c r="O55" s="5"/>
      <c r="P55" s="46"/>
      <c r="Q55" s="23"/>
    </row>
    <row r="56" spans="1:17" ht="15.75" x14ac:dyDescent="0.25">
      <c r="A56" s="4">
        <v>4</v>
      </c>
      <c r="B56" s="32" t="s">
        <v>216</v>
      </c>
      <c r="C56" s="5" t="s">
        <v>11</v>
      </c>
      <c r="D56" s="26" t="s">
        <v>218</v>
      </c>
      <c r="E56" s="5"/>
      <c r="F56" s="5"/>
      <c r="G56" s="72">
        <f>G14</f>
        <v>153.95901000000001</v>
      </c>
      <c r="H56" s="5"/>
      <c r="I56" s="5"/>
      <c r="J56" s="5"/>
      <c r="K56" s="5"/>
      <c r="L56" s="5"/>
      <c r="M56" s="5"/>
      <c r="N56" s="5"/>
      <c r="O56" s="5">
        <v>100</v>
      </c>
      <c r="P56" s="46"/>
      <c r="Q56" s="23"/>
    </row>
    <row r="57" spans="1:17" ht="15" customHeight="1" x14ac:dyDescent="0.25">
      <c r="A57" s="2">
        <v>3</v>
      </c>
      <c r="B57" s="31"/>
      <c r="C57" s="3" t="s">
        <v>8</v>
      </c>
      <c r="D57" s="3" t="s">
        <v>86</v>
      </c>
      <c r="E57" s="3"/>
      <c r="F57" s="3">
        <v>20502</v>
      </c>
      <c r="G57" s="38">
        <f>IF((G58/G59)&lt;0,0,IF((G58/G59)&gt;=O59,100,IF(AND(0&lt;=(G58/G59),(G58/G59)&lt;=O59),100*(1-(ABS(((G58/G59)-O59)/O59))),NAN)))</f>
        <v>77.073082114518655</v>
      </c>
      <c r="H57" s="3"/>
      <c r="I57" s="3"/>
      <c r="J57" s="3"/>
      <c r="K57" s="3"/>
      <c r="L57" s="3"/>
      <c r="M57" s="3"/>
      <c r="N57" s="3"/>
      <c r="O57" s="3"/>
      <c r="P57" s="45"/>
      <c r="Q57" s="23" t="s">
        <v>177</v>
      </c>
    </row>
    <row r="58" spans="1:17" x14ac:dyDescent="0.25">
      <c r="A58" s="4">
        <v>4</v>
      </c>
      <c r="B58" s="32" t="s">
        <v>215</v>
      </c>
      <c r="C58" s="5" t="s">
        <v>11</v>
      </c>
      <c r="D58" s="26" t="s">
        <v>87</v>
      </c>
      <c r="E58" s="5"/>
      <c r="F58" s="5"/>
      <c r="G58" s="71">
        <v>2373.2190839999998</v>
      </c>
      <c r="H58" s="59">
        <v>2015</v>
      </c>
      <c r="I58" s="5" t="s">
        <v>202</v>
      </c>
      <c r="J58" s="5">
        <v>2</v>
      </c>
      <c r="K58" s="59">
        <v>2010</v>
      </c>
      <c r="L58" s="59">
        <v>2238</v>
      </c>
      <c r="M58" s="5"/>
      <c r="N58" s="5"/>
      <c r="O58" s="5"/>
      <c r="P58" s="46"/>
      <c r="Q58" s="23"/>
    </row>
    <row r="59" spans="1:17" ht="15.75" x14ac:dyDescent="0.25">
      <c r="A59" s="4">
        <v>4</v>
      </c>
      <c r="B59" s="32" t="s">
        <v>216</v>
      </c>
      <c r="C59" s="5" t="s">
        <v>11</v>
      </c>
      <c r="D59" s="26" t="s">
        <v>218</v>
      </c>
      <c r="E59" s="5"/>
      <c r="F59" s="5"/>
      <c r="G59" s="72">
        <f>G14</f>
        <v>153.95901000000001</v>
      </c>
      <c r="H59" s="5"/>
      <c r="I59" s="5"/>
      <c r="J59" s="5"/>
      <c r="K59" s="5"/>
      <c r="L59" s="5"/>
      <c r="M59" s="5"/>
      <c r="N59" s="5"/>
      <c r="O59" s="5">
        <v>20</v>
      </c>
      <c r="P59" s="46"/>
      <c r="Q59" s="23"/>
    </row>
    <row r="60" spans="1:17" ht="15" customHeight="1" x14ac:dyDescent="0.25">
      <c r="A60" s="2">
        <v>3</v>
      </c>
      <c r="B60" s="31"/>
      <c r="C60" s="3" t="s">
        <v>8</v>
      </c>
      <c r="D60" s="3" t="s">
        <v>88</v>
      </c>
      <c r="E60" s="3"/>
      <c r="F60" s="3">
        <v>20503</v>
      </c>
      <c r="G60" s="38">
        <f>IF((100*G61/G62)&lt;M62,0,IF((100*G61/G62)&gt;=N62,100,IF(AND(M62&lt;=(100*G61/G62),(100*G61/G62)&lt;N62),100*(((100*G61/G62)-M62)/(N62-M62)),NAN)))</f>
        <v>21.482902927647217</v>
      </c>
      <c r="H60" s="3"/>
      <c r="I60" s="3"/>
      <c r="J60" s="3"/>
      <c r="K60" s="3"/>
      <c r="L60" s="3"/>
      <c r="M60" s="3"/>
      <c r="N60" s="3"/>
      <c r="O60" s="3"/>
      <c r="P60" s="45"/>
      <c r="Q60" s="23" t="s">
        <v>89</v>
      </c>
    </row>
    <row r="61" spans="1:17" x14ac:dyDescent="0.25">
      <c r="A61" s="4">
        <v>4</v>
      </c>
      <c r="B61" s="32" t="s">
        <v>215</v>
      </c>
      <c r="C61" s="5" t="s">
        <v>11</v>
      </c>
      <c r="D61" s="26" t="s">
        <v>219</v>
      </c>
      <c r="E61" s="5"/>
      <c r="F61" s="5"/>
      <c r="G61" s="59">
        <v>19.16</v>
      </c>
      <c r="H61" s="59">
        <v>2015</v>
      </c>
      <c r="I61" s="5" t="s">
        <v>202</v>
      </c>
      <c r="J61" s="5">
        <v>2</v>
      </c>
      <c r="K61" s="59">
        <v>2010</v>
      </c>
      <c r="L61" s="59">
        <v>18.067944658397</v>
      </c>
      <c r="M61" s="5"/>
      <c r="N61" s="5"/>
      <c r="O61" s="5"/>
      <c r="P61" s="46"/>
      <c r="Q61" s="23"/>
    </row>
    <row r="62" spans="1:17" ht="15.75" x14ac:dyDescent="0.25">
      <c r="A62" s="4">
        <v>4</v>
      </c>
      <c r="B62" s="32" t="s">
        <v>216</v>
      </c>
      <c r="C62" s="5" t="s">
        <v>11</v>
      </c>
      <c r="D62" s="26" t="s">
        <v>40</v>
      </c>
      <c r="E62" s="5"/>
      <c r="F62" s="5"/>
      <c r="G62" s="33">
        <f>G14</f>
        <v>153.95901000000001</v>
      </c>
      <c r="H62" s="5"/>
      <c r="I62" s="5"/>
      <c r="J62" s="5"/>
      <c r="K62" s="5"/>
      <c r="L62" s="5"/>
      <c r="M62" s="5">
        <v>6</v>
      </c>
      <c r="N62" s="5">
        <v>36</v>
      </c>
      <c r="O62" s="5"/>
      <c r="P62" s="46"/>
      <c r="Q62" s="23"/>
    </row>
    <row r="63" spans="1:17" s="10" customFormat="1" ht="15.75" customHeight="1" x14ac:dyDescent="0.25">
      <c r="A63" s="16">
        <v>1</v>
      </c>
      <c r="B63" s="29"/>
      <c r="C63" s="17" t="s">
        <v>5</v>
      </c>
      <c r="D63" s="17" t="s">
        <v>30</v>
      </c>
      <c r="E63" s="17"/>
      <c r="F63" s="17">
        <v>3</v>
      </c>
      <c r="G63" s="40">
        <f>AVERAGE(G64,G70,G76,G80)</f>
        <v>61.756348931157135</v>
      </c>
      <c r="H63" s="17"/>
      <c r="I63" s="17"/>
      <c r="J63" s="17"/>
      <c r="K63" s="17"/>
      <c r="L63" s="17"/>
      <c r="M63" s="17"/>
      <c r="N63" s="17"/>
      <c r="O63" s="17"/>
      <c r="P63" s="43"/>
      <c r="Q63" s="21" t="s">
        <v>31</v>
      </c>
    </row>
    <row r="64" spans="1:17" s="11" customFormat="1" ht="15.75" customHeight="1" x14ac:dyDescent="0.25">
      <c r="A64" s="18">
        <v>2</v>
      </c>
      <c r="B64" s="30"/>
      <c r="C64" s="19" t="s">
        <v>7</v>
      </c>
      <c r="D64" s="19" t="s">
        <v>90</v>
      </c>
      <c r="E64" s="19" t="s">
        <v>90</v>
      </c>
      <c r="F64" s="19">
        <v>301</v>
      </c>
      <c r="G64" s="39">
        <f>AVERAGE(G65,G67)</f>
        <v>72.623479820294762</v>
      </c>
      <c r="H64" s="19"/>
      <c r="I64" s="19"/>
      <c r="J64" s="19"/>
      <c r="K64" s="19"/>
      <c r="L64" s="19"/>
      <c r="M64" s="1"/>
      <c r="N64" s="1"/>
      <c r="O64" s="1"/>
      <c r="P64" s="44"/>
      <c r="Q64" s="22"/>
    </row>
    <row r="65" spans="1:17" ht="15" customHeight="1" x14ac:dyDescent="0.25">
      <c r="A65" s="2">
        <v>3</v>
      </c>
      <c r="B65" s="31"/>
      <c r="C65" s="3" t="s">
        <v>8</v>
      </c>
      <c r="D65" s="3" t="s">
        <v>91</v>
      </c>
      <c r="E65" s="3"/>
      <c r="F65" s="3">
        <v>30101</v>
      </c>
      <c r="G65" s="38">
        <f>IF(G66&lt;M66,0,IF(G66&gt;=N66,100,IF(AND(M66&lt;G66,G66&lt;N66),100*((G66-M66)/(N66-M66)),NAN)))</f>
        <v>76.528292894431544</v>
      </c>
      <c r="H65" s="3"/>
      <c r="I65" s="3"/>
      <c r="J65" s="3"/>
      <c r="K65" s="3"/>
      <c r="L65" s="3"/>
      <c r="M65" s="3"/>
      <c r="N65" s="3"/>
      <c r="O65" s="3"/>
      <c r="P65" s="45"/>
      <c r="Q65" s="23" t="s">
        <v>92</v>
      </c>
    </row>
    <row r="66" spans="1:17" x14ac:dyDescent="0.25">
      <c r="A66" s="4">
        <v>4</v>
      </c>
      <c r="B66" s="32" t="s">
        <v>215</v>
      </c>
      <c r="C66" s="5" t="s">
        <v>11</v>
      </c>
      <c r="D66" s="26" t="s">
        <v>93</v>
      </c>
      <c r="E66" s="5"/>
      <c r="F66" s="5"/>
      <c r="G66" s="70">
        <v>75.386955389999997</v>
      </c>
      <c r="H66" s="59">
        <v>2015</v>
      </c>
      <c r="I66" s="5" t="s">
        <v>217</v>
      </c>
      <c r="J66" s="5">
        <v>3</v>
      </c>
      <c r="K66" s="59">
        <v>2010</v>
      </c>
      <c r="L66" s="59">
        <v>74.7</v>
      </c>
      <c r="M66" s="5">
        <v>49</v>
      </c>
      <c r="N66" s="5">
        <v>83.48</v>
      </c>
      <c r="O66" s="5"/>
      <c r="P66" s="46"/>
      <c r="Q66" s="23"/>
    </row>
    <row r="67" spans="1:17" ht="15" customHeight="1" x14ac:dyDescent="0.25">
      <c r="A67" s="2">
        <v>3</v>
      </c>
      <c r="B67" s="31"/>
      <c r="C67" s="3" t="s">
        <v>8</v>
      </c>
      <c r="D67" s="3" t="s">
        <v>94</v>
      </c>
      <c r="E67" s="3"/>
      <c r="F67" s="3">
        <v>30102</v>
      </c>
      <c r="G67" s="38">
        <f>IF(LN(1000*(G68/G69))&gt;=LN(N69),0,IF(LN(1000*(G68/G69))&lt;=LN(M69),100,IF(AND(LN(M69)&lt;LN(1000*(G68/G69)),LN(1000*(G68/G69))&lt;LN(N69)),100*(1-((LN(1000*(G68/G69))-LN(M69))/(LN(N69)-LN(M69)))),NAN)))</f>
        <v>68.718666746157993</v>
      </c>
      <c r="H67" s="3"/>
      <c r="I67" s="3"/>
      <c r="J67" s="3"/>
      <c r="K67" s="3"/>
      <c r="L67" s="3"/>
      <c r="M67" s="3"/>
      <c r="N67" s="3"/>
      <c r="O67" s="3"/>
      <c r="P67" s="45"/>
      <c r="Q67" s="23" t="s">
        <v>95</v>
      </c>
    </row>
    <row r="68" spans="1:17" x14ac:dyDescent="0.25">
      <c r="A68" s="4">
        <v>4</v>
      </c>
      <c r="B68" s="32" t="s">
        <v>215</v>
      </c>
      <c r="C68" s="5" t="s">
        <v>11</v>
      </c>
      <c r="D68" s="26" t="s">
        <v>96</v>
      </c>
      <c r="E68" s="5"/>
      <c r="F68" s="5"/>
      <c r="G68" s="59">
        <v>179</v>
      </c>
      <c r="H68" s="59">
        <v>2015</v>
      </c>
      <c r="I68" s="5" t="s">
        <v>189</v>
      </c>
      <c r="J68" s="5">
        <v>3</v>
      </c>
      <c r="K68" s="59">
        <v>2010</v>
      </c>
      <c r="L68" s="59">
        <v>226</v>
      </c>
      <c r="M68" s="5"/>
      <c r="N68" s="5"/>
      <c r="O68" s="5"/>
      <c r="P68" s="46"/>
      <c r="Q68" s="23"/>
    </row>
    <row r="69" spans="1:17" x14ac:dyDescent="0.25">
      <c r="A69" s="4">
        <v>4</v>
      </c>
      <c r="B69" s="32" t="s">
        <v>215</v>
      </c>
      <c r="C69" s="5" t="s">
        <v>11</v>
      </c>
      <c r="D69" s="26" t="s">
        <v>200</v>
      </c>
      <c r="E69" s="5"/>
      <c r="F69" s="5"/>
      <c r="G69" s="59">
        <v>20458</v>
      </c>
      <c r="H69" s="59">
        <v>2015</v>
      </c>
      <c r="I69" s="5" t="s">
        <v>195</v>
      </c>
      <c r="J69" s="5">
        <v>3</v>
      </c>
      <c r="K69" s="59">
        <v>2010</v>
      </c>
      <c r="L69" s="59">
        <v>16856.213415775601</v>
      </c>
      <c r="M69" s="5">
        <v>2.2000000000000002</v>
      </c>
      <c r="N69" s="5">
        <v>181.6</v>
      </c>
      <c r="O69" s="5"/>
      <c r="P69" s="46"/>
      <c r="Q69" s="23"/>
    </row>
    <row r="70" spans="1:17" s="11" customFormat="1" ht="15.75" customHeight="1" x14ac:dyDescent="0.25">
      <c r="A70" s="18">
        <v>2</v>
      </c>
      <c r="B70" s="30"/>
      <c r="C70" s="19" t="s">
        <v>7</v>
      </c>
      <c r="D70" s="19" t="s">
        <v>97</v>
      </c>
      <c r="E70" s="19" t="s">
        <v>97</v>
      </c>
      <c r="F70" s="19">
        <v>302</v>
      </c>
      <c r="G70" s="39">
        <f>AVERAGE(G71,G74)</f>
        <v>85.453580594076186</v>
      </c>
      <c r="H70" s="19"/>
      <c r="I70" s="19"/>
      <c r="J70" s="19"/>
      <c r="K70" s="19"/>
      <c r="L70" s="19"/>
      <c r="M70" s="1"/>
      <c r="N70" s="1"/>
      <c r="O70" s="1"/>
      <c r="P70" s="44"/>
      <c r="Q70" s="22"/>
    </row>
    <row r="71" spans="1:17" ht="15" customHeight="1" x14ac:dyDescent="0.25">
      <c r="A71" s="2">
        <v>3</v>
      </c>
      <c r="B71" s="31"/>
      <c r="C71" s="3" t="s">
        <v>8</v>
      </c>
      <c r="D71" s="3" t="s">
        <v>98</v>
      </c>
      <c r="E71" s="3"/>
      <c r="F71" s="3">
        <v>30201</v>
      </c>
      <c r="G71" s="38">
        <f>IF((100*(G72/G73))&lt;=M73,0,IF((100*(G72/G73))&gt;=N73,100,IF(AND(M73&lt;(100*(G72/G73)),(100*(G72/G73))&lt;N73),100*(((100*(G72/G73))-M73)/(N73-M73)),NAN)))</f>
        <v>96.15418113069309</v>
      </c>
      <c r="H71" s="3"/>
      <c r="I71" s="3"/>
      <c r="J71" s="3"/>
      <c r="K71" s="3"/>
      <c r="L71" s="3"/>
      <c r="M71" s="3"/>
      <c r="N71" s="3"/>
      <c r="O71" s="3"/>
      <c r="P71" s="45"/>
      <c r="Q71" s="23" t="s">
        <v>99</v>
      </c>
    </row>
    <row r="72" spans="1:17" x14ac:dyDescent="0.25">
      <c r="A72" s="4">
        <v>4</v>
      </c>
      <c r="B72" s="32" t="s">
        <v>215</v>
      </c>
      <c r="C72" s="5" t="s">
        <v>11</v>
      </c>
      <c r="D72" s="26" t="s">
        <v>100</v>
      </c>
      <c r="E72" s="5"/>
      <c r="F72" s="5"/>
      <c r="G72" s="59">
        <v>635474</v>
      </c>
      <c r="H72" s="59">
        <v>2015</v>
      </c>
      <c r="I72" s="5" t="s">
        <v>190</v>
      </c>
      <c r="J72" s="5">
        <v>3</v>
      </c>
      <c r="K72" s="59">
        <v>2010</v>
      </c>
      <c r="L72" s="59">
        <v>555267</v>
      </c>
      <c r="M72" s="5"/>
      <c r="N72" s="5"/>
      <c r="O72" s="5"/>
      <c r="P72" s="46"/>
      <c r="Q72" s="23"/>
    </row>
    <row r="73" spans="1:17" ht="15.75" x14ac:dyDescent="0.25">
      <c r="A73" s="4">
        <v>4</v>
      </c>
      <c r="B73" s="32" t="s">
        <v>215</v>
      </c>
      <c r="C73" s="5" t="s">
        <v>11</v>
      </c>
      <c r="D73" s="26" t="s">
        <v>101</v>
      </c>
      <c r="E73" s="5"/>
      <c r="F73" s="5"/>
      <c r="G73" s="33">
        <f>G21</f>
        <v>657603</v>
      </c>
      <c r="H73" s="59">
        <v>2015</v>
      </c>
      <c r="I73" s="5" t="s">
        <v>190</v>
      </c>
      <c r="J73" s="5">
        <v>3</v>
      </c>
      <c r="K73" s="59">
        <v>2010</v>
      </c>
      <c r="L73" s="59">
        <v>577620</v>
      </c>
      <c r="M73" s="5">
        <v>15</v>
      </c>
      <c r="N73" s="5">
        <v>99.9</v>
      </c>
      <c r="O73" s="5"/>
      <c r="P73" s="46"/>
      <c r="Q73" s="23"/>
    </row>
    <row r="74" spans="1:17" ht="15" customHeight="1" x14ac:dyDescent="0.25">
      <c r="A74" s="2">
        <v>3</v>
      </c>
      <c r="B74" s="31"/>
      <c r="C74" s="3" t="s">
        <v>8</v>
      </c>
      <c r="D74" s="3" t="s">
        <v>102</v>
      </c>
      <c r="E74" s="3"/>
      <c r="F74" s="3">
        <v>30202</v>
      </c>
      <c r="G74" s="38">
        <f>IF(G75&lt;0,0,IF(G75&gt;=O75,100,IF(AND(0&lt;G75,G75&lt;O75),100*(1-ABS((G75-O75)/O75)),NAN)))</f>
        <v>74.752980057459297</v>
      </c>
      <c r="H74" s="3"/>
      <c r="I74" s="3"/>
      <c r="J74" s="3"/>
      <c r="K74" s="3"/>
      <c r="L74" s="3"/>
      <c r="M74" s="3"/>
      <c r="N74" s="3"/>
      <c r="O74" s="3"/>
      <c r="P74" s="45"/>
      <c r="Q74" s="23" t="s">
        <v>103</v>
      </c>
    </row>
    <row r="75" spans="1:17" x14ac:dyDescent="0.25">
      <c r="A75" s="4">
        <v>4</v>
      </c>
      <c r="B75" s="32" t="s">
        <v>215</v>
      </c>
      <c r="C75" s="5" t="s">
        <v>11</v>
      </c>
      <c r="D75" s="26" t="s">
        <v>104</v>
      </c>
      <c r="E75" s="5"/>
      <c r="F75" s="5"/>
      <c r="G75" s="70">
        <v>10.4654172080443</v>
      </c>
      <c r="H75" s="59">
        <v>2015</v>
      </c>
      <c r="I75" s="5" t="s">
        <v>190</v>
      </c>
      <c r="J75" s="5">
        <v>3</v>
      </c>
      <c r="K75" s="59">
        <v>2010</v>
      </c>
      <c r="L75" s="59">
        <v>10.16</v>
      </c>
      <c r="M75" s="5"/>
      <c r="N75" s="5"/>
      <c r="O75" s="5">
        <v>14</v>
      </c>
      <c r="P75" s="46"/>
      <c r="Q75" s="23"/>
    </row>
    <row r="76" spans="1:17" s="11" customFormat="1" ht="15.75" customHeight="1" x14ac:dyDescent="0.25">
      <c r="A76" s="18">
        <v>2</v>
      </c>
      <c r="B76" s="30"/>
      <c r="C76" s="19" t="s">
        <v>7</v>
      </c>
      <c r="D76" s="19" t="s">
        <v>105</v>
      </c>
      <c r="E76" s="19" t="s">
        <v>105</v>
      </c>
      <c r="F76" s="19">
        <v>303</v>
      </c>
      <c r="G76" s="39">
        <f>G77</f>
        <v>73.210636010493573</v>
      </c>
      <c r="H76" s="19"/>
      <c r="I76" s="19"/>
      <c r="J76" s="19"/>
      <c r="K76" s="19"/>
      <c r="L76" s="19"/>
      <c r="M76" s="1"/>
      <c r="N76" s="1"/>
      <c r="O76" s="1"/>
      <c r="P76" s="44"/>
      <c r="Q76" s="22"/>
    </row>
    <row r="77" spans="1:17" ht="15" customHeight="1" x14ac:dyDescent="0.25">
      <c r="A77" s="2">
        <v>3</v>
      </c>
      <c r="B77" s="31"/>
      <c r="C77" s="3" t="s">
        <v>8</v>
      </c>
      <c r="D77" s="3" t="s">
        <v>106</v>
      </c>
      <c r="E77" s="3"/>
      <c r="F77" s="3">
        <v>30301</v>
      </c>
      <c r="G77" s="38">
        <f>IF(LN(100000*(G78/G79))&gt;=LN(N79),0,IF(LN(100000*(G78/G79))&lt;=LN(M79),100,IF(AND(LN(M79)&lt;LN(100000*(G78/G79)),LN(100000*(G78/G79))&lt;LN(N79)),100*(1-((LN(100000*(G78/G79))-LN(M79))/(LN(N79)-LN(M79)))),NAN)))</f>
        <v>73.210636010493573</v>
      </c>
      <c r="H77" s="3"/>
      <c r="I77" s="3"/>
      <c r="J77" s="3"/>
      <c r="K77" s="3"/>
      <c r="L77" s="3"/>
      <c r="M77" s="3"/>
      <c r="N77" s="3"/>
      <c r="O77" s="3"/>
      <c r="P77" s="45"/>
      <c r="Q77" s="23" t="s">
        <v>107</v>
      </c>
    </row>
    <row r="78" spans="1:17" x14ac:dyDescent="0.25">
      <c r="A78" s="4">
        <v>4</v>
      </c>
      <c r="B78" s="32" t="s">
        <v>215</v>
      </c>
      <c r="C78" s="5" t="s">
        <v>11</v>
      </c>
      <c r="D78" s="26" t="s">
        <v>108</v>
      </c>
      <c r="E78" s="5"/>
      <c r="F78" s="5"/>
      <c r="G78" s="59">
        <v>64</v>
      </c>
      <c r="H78" s="59">
        <v>2015</v>
      </c>
      <c r="I78" s="5" t="s">
        <v>208</v>
      </c>
      <c r="J78" s="5">
        <v>3</v>
      </c>
      <c r="K78" s="59">
        <v>2010</v>
      </c>
      <c r="L78" s="59">
        <v>36</v>
      </c>
      <c r="M78" s="5"/>
      <c r="N78" s="5"/>
      <c r="O78" s="5"/>
      <c r="P78" s="46"/>
      <c r="Q78" s="23"/>
    </row>
    <row r="79" spans="1:17" ht="15.75" x14ac:dyDescent="0.25">
      <c r="A79" s="4">
        <v>4</v>
      </c>
      <c r="B79" s="32" t="s">
        <v>216</v>
      </c>
      <c r="C79" s="5" t="s">
        <v>11</v>
      </c>
      <c r="D79" s="26" t="s">
        <v>17</v>
      </c>
      <c r="E79" s="5"/>
      <c r="F79" s="5"/>
      <c r="G79" s="33">
        <f>G6</f>
        <v>878931</v>
      </c>
      <c r="H79" s="5"/>
      <c r="I79" s="5"/>
      <c r="J79" s="5"/>
      <c r="K79" s="5"/>
      <c r="L79" s="5"/>
      <c r="M79" s="5">
        <v>1</v>
      </c>
      <c r="N79" s="5">
        <v>1654</v>
      </c>
      <c r="O79" s="5"/>
      <c r="P79" s="46"/>
      <c r="Q79" s="23"/>
    </row>
    <row r="80" spans="1:17" s="11" customFormat="1" ht="15.75" customHeight="1" x14ac:dyDescent="0.25">
      <c r="A80" s="18">
        <v>2</v>
      </c>
      <c r="B80" s="30"/>
      <c r="C80" s="19" t="s">
        <v>7</v>
      </c>
      <c r="D80" s="19" t="s">
        <v>109</v>
      </c>
      <c r="E80" s="19" t="s">
        <v>109</v>
      </c>
      <c r="F80" s="19">
        <v>304</v>
      </c>
      <c r="G80" s="39">
        <f>AVERAGE(G81,G84)</f>
        <v>15.737699299764007</v>
      </c>
      <c r="H80" s="19"/>
      <c r="I80" s="19"/>
      <c r="J80" s="19"/>
      <c r="K80" s="19"/>
      <c r="L80" s="19"/>
      <c r="M80" s="1"/>
      <c r="N80" s="1"/>
      <c r="O80" s="1"/>
      <c r="P80" s="44"/>
      <c r="Q80" s="22"/>
    </row>
    <row r="81" spans="1:17" ht="15" customHeight="1" x14ac:dyDescent="0.25">
      <c r="A81" s="2">
        <v>3</v>
      </c>
      <c r="B81" s="31"/>
      <c r="C81" s="3" t="s">
        <v>8</v>
      </c>
      <c r="D81" s="3" t="s">
        <v>110</v>
      </c>
      <c r="E81" s="3"/>
      <c r="F81" s="3">
        <v>30401</v>
      </c>
      <c r="G81" s="38">
        <f>IF((100*(G82/G83))&lt;=M83,0,IF((100*(G82/G83))&gt;=N83,100,IF(AND(M83&lt;(100*(G82/G83)),(100*(G82/G83))&lt;N83),(100*(G82/G83)),NAN)))</f>
        <v>14.917405613351242</v>
      </c>
      <c r="H81" s="3"/>
      <c r="I81" s="3"/>
      <c r="J81" s="3"/>
      <c r="K81" s="3"/>
      <c r="L81" s="3"/>
      <c r="M81" s="3"/>
      <c r="N81" s="3"/>
      <c r="O81" s="3"/>
      <c r="P81" s="45"/>
      <c r="Q81" s="23" t="s">
        <v>111</v>
      </c>
    </row>
    <row r="82" spans="1:17" x14ac:dyDescent="0.25">
      <c r="A82" s="4">
        <v>4</v>
      </c>
      <c r="B82" s="32" t="s">
        <v>215</v>
      </c>
      <c r="C82" s="5" t="s">
        <v>11</v>
      </c>
      <c r="D82" s="26" t="s">
        <v>220</v>
      </c>
      <c r="E82" s="5"/>
      <c r="F82" s="5"/>
      <c r="G82" s="70">
        <v>22.96669</v>
      </c>
      <c r="H82" s="59">
        <v>2015</v>
      </c>
      <c r="I82" s="5" t="s">
        <v>202</v>
      </c>
      <c r="J82" s="5">
        <v>3</v>
      </c>
      <c r="K82" s="59">
        <v>2010</v>
      </c>
      <c r="L82" s="59">
        <v>20</v>
      </c>
      <c r="M82" s="5"/>
      <c r="N82" s="5"/>
      <c r="O82" s="5"/>
      <c r="P82" s="46"/>
      <c r="Q82" s="23"/>
    </row>
    <row r="83" spans="1:17" ht="15.75" x14ac:dyDescent="0.25">
      <c r="A83" s="4">
        <v>4</v>
      </c>
      <c r="B83" s="32" t="s">
        <v>216</v>
      </c>
      <c r="C83" s="5" t="s">
        <v>11</v>
      </c>
      <c r="D83" s="26" t="s">
        <v>218</v>
      </c>
      <c r="E83" s="5"/>
      <c r="F83" s="5"/>
      <c r="G83" s="33">
        <f>G14</f>
        <v>153.95901000000001</v>
      </c>
      <c r="H83" s="5"/>
      <c r="I83" s="5"/>
      <c r="J83" s="5"/>
      <c r="K83" s="5"/>
      <c r="L83" s="5"/>
      <c r="M83" s="5">
        <v>0</v>
      </c>
      <c r="N83" s="5">
        <v>100</v>
      </c>
      <c r="O83" s="5"/>
      <c r="P83" s="46"/>
      <c r="Q83" s="23"/>
    </row>
    <row r="84" spans="1:17" ht="15" customHeight="1" x14ac:dyDescent="0.25">
      <c r="A84" s="2">
        <v>3</v>
      </c>
      <c r="B84" s="31"/>
      <c r="C84" s="3" t="s">
        <v>8</v>
      </c>
      <c r="D84" s="3" t="s">
        <v>112</v>
      </c>
      <c r="E84" s="3"/>
      <c r="F84" s="3">
        <v>30402</v>
      </c>
      <c r="G84" s="38">
        <f>IF((1000000*(G85/G86))&lt;0,0,IF((1000000*(G85/G86))&gt;=O86,100,IF(AND(0&lt;(1000000*(G85/G86)),(1000000*(G85/G86))&lt;O86),100*(1-ABS(((1000000*(G85/G86))-O86)/O86)),NAN)))</f>
        <v>16.557992986176771</v>
      </c>
      <c r="H84" s="3"/>
      <c r="I84" s="3"/>
      <c r="J84" s="3"/>
      <c r="K84" s="3"/>
      <c r="L84" s="3"/>
      <c r="M84" s="3"/>
      <c r="N84" s="3"/>
      <c r="O84" s="3"/>
      <c r="P84" s="45"/>
      <c r="Q84" s="23" t="s">
        <v>227</v>
      </c>
    </row>
    <row r="85" spans="1:17" x14ac:dyDescent="0.25">
      <c r="A85" s="4">
        <v>4</v>
      </c>
      <c r="B85" s="32" t="s">
        <v>215</v>
      </c>
      <c r="C85" s="5" t="s">
        <v>11</v>
      </c>
      <c r="D85" s="26" t="s">
        <v>201</v>
      </c>
      <c r="E85" s="5"/>
      <c r="F85" s="5"/>
      <c r="G85" s="59">
        <v>2.1829999999999998</v>
      </c>
      <c r="H85" s="59">
        <v>2015</v>
      </c>
      <c r="I85" s="5" t="s">
        <v>202</v>
      </c>
      <c r="J85" s="5">
        <v>3</v>
      </c>
      <c r="K85" s="59">
        <v>2010</v>
      </c>
      <c r="L85" s="59">
        <v>1.91462</v>
      </c>
      <c r="M85" s="5"/>
      <c r="N85" s="5"/>
      <c r="O85" s="5"/>
      <c r="P85" s="46"/>
      <c r="Q85" s="23"/>
    </row>
    <row r="86" spans="1:17" ht="15.75" x14ac:dyDescent="0.25">
      <c r="A86" s="4">
        <v>4</v>
      </c>
      <c r="B86" s="32" t="s">
        <v>216</v>
      </c>
      <c r="C86" s="5" t="s">
        <v>11</v>
      </c>
      <c r="D86" s="26" t="s">
        <v>17</v>
      </c>
      <c r="E86" s="5"/>
      <c r="F86" s="5"/>
      <c r="G86" s="33">
        <f>G6</f>
        <v>878931</v>
      </c>
      <c r="H86" s="5"/>
      <c r="I86" s="5"/>
      <c r="J86" s="5"/>
      <c r="K86" s="5"/>
      <c r="L86" s="5"/>
      <c r="M86" s="5"/>
      <c r="N86" s="5"/>
      <c r="O86" s="5">
        <v>15</v>
      </c>
      <c r="P86" s="46"/>
      <c r="Q86" s="23"/>
    </row>
    <row r="87" spans="1:17" s="10" customFormat="1" ht="15.75" customHeight="1" x14ac:dyDescent="0.25">
      <c r="A87" s="16">
        <v>1</v>
      </c>
      <c r="B87" s="29"/>
      <c r="C87" s="17" t="s">
        <v>5</v>
      </c>
      <c r="D87" s="17" t="s">
        <v>32</v>
      </c>
      <c r="E87" s="17"/>
      <c r="F87" s="17">
        <v>4</v>
      </c>
      <c r="G87" s="40">
        <f>AVERAGE(G88,G94,G101)</f>
        <v>75.62819536440405</v>
      </c>
      <c r="H87" s="17"/>
      <c r="I87" s="17"/>
      <c r="J87" s="17"/>
      <c r="K87" s="17"/>
      <c r="L87" s="17"/>
      <c r="M87" s="17"/>
      <c r="N87" s="17"/>
      <c r="O87" s="17"/>
      <c r="P87" s="43"/>
      <c r="Q87" s="21" t="s">
        <v>33</v>
      </c>
    </row>
    <row r="88" spans="1:17" s="11" customFormat="1" ht="15.75" customHeight="1" x14ac:dyDescent="0.25">
      <c r="A88" s="18">
        <v>2</v>
      </c>
      <c r="B88" s="30"/>
      <c r="C88" s="19" t="s">
        <v>7</v>
      </c>
      <c r="D88" s="19" t="s">
        <v>113</v>
      </c>
      <c r="E88" s="19" t="s">
        <v>113</v>
      </c>
      <c r="F88" s="19">
        <v>401</v>
      </c>
      <c r="G88" s="39">
        <f>AVERAGE(G89,G91)</f>
        <v>49.686289566787629</v>
      </c>
      <c r="H88" s="19"/>
      <c r="I88" s="19"/>
      <c r="J88" s="19"/>
      <c r="K88" s="19"/>
      <c r="L88" s="19"/>
      <c r="M88" s="1"/>
      <c r="N88" s="1"/>
      <c r="O88" s="1"/>
      <c r="P88" s="44"/>
      <c r="Q88" s="22"/>
    </row>
    <row r="89" spans="1:17" ht="15" customHeight="1" x14ac:dyDescent="0.25">
      <c r="A89" s="2">
        <v>3</v>
      </c>
      <c r="B89" s="31"/>
      <c r="C89" s="3" t="s">
        <v>8</v>
      </c>
      <c r="D89" s="3" t="s">
        <v>114</v>
      </c>
      <c r="E89" s="3"/>
      <c r="F89" s="3">
        <v>40101</v>
      </c>
      <c r="G89" s="38">
        <f>IF(G90&gt;=N90,0,IF(G90&lt;=M90,100,IF(AND(M90&lt;G90,G90&lt;N90),100*(1-((G90-M90)/(N90-M90))),NAN)))</f>
        <v>46.860960774769232</v>
      </c>
      <c r="H89" s="3"/>
      <c r="I89" s="3"/>
      <c r="J89" s="3"/>
      <c r="K89" s="3"/>
      <c r="L89" s="51"/>
      <c r="M89" s="51"/>
      <c r="N89" s="51"/>
      <c r="O89" s="51"/>
      <c r="P89" s="52"/>
      <c r="Q89" s="23" t="s">
        <v>228</v>
      </c>
    </row>
    <row r="90" spans="1:17" x14ac:dyDescent="0.25">
      <c r="A90" s="4">
        <v>4</v>
      </c>
      <c r="B90" s="32" t="s">
        <v>215</v>
      </c>
      <c r="C90" s="5" t="s">
        <v>11</v>
      </c>
      <c r="D90" s="26" t="s">
        <v>115</v>
      </c>
      <c r="E90" s="5"/>
      <c r="F90" s="5"/>
      <c r="G90" s="59">
        <v>0.44724225297839998</v>
      </c>
      <c r="H90" s="59">
        <v>2015</v>
      </c>
      <c r="I90" s="25" t="s">
        <v>204</v>
      </c>
      <c r="J90" s="5">
        <v>4</v>
      </c>
      <c r="K90" s="59">
        <v>2010</v>
      </c>
      <c r="L90" s="59">
        <v>0.46053549999999999</v>
      </c>
      <c r="M90" s="26">
        <v>0.24</v>
      </c>
      <c r="N90" s="26">
        <v>0.63</v>
      </c>
      <c r="O90" s="26"/>
      <c r="P90" s="47"/>
      <c r="Q90" s="23"/>
    </row>
    <row r="91" spans="1:17" ht="15" customHeight="1" x14ac:dyDescent="0.25">
      <c r="A91" s="2">
        <v>3</v>
      </c>
      <c r="B91" s="31"/>
      <c r="C91" s="3" t="s">
        <v>8</v>
      </c>
      <c r="D91" s="3" t="s">
        <v>116</v>
      </c>
      <c r="E91" s="3"/>
      <c r="F91" s="3">
        <v>40102</v>
      </c>
      <c r="G91" s="38">
        <f>IF(POWER((100*(G92/G93)),P93)&gt;=POWER(N93,P93),0,IF(POWER((100*(G92/G93)),P93)&lt;=POWER(M93,P93),100,IF(AND(POWER(M93,P93)&lt;POWER((100*(G92/G93)),P93),POWER((100*(G92/G93)),P93)&lt;POWER(N93,P93)),100*(1-ABS((POWER((100*(G92/G93)),P93)-POWER(M93,P93))/(POWER(N93,P93)-POWER(M93,P93)))),NAN)))</f>
        <v>52.511618358806025</v>
      </c>
      <c r="H91" s="3"/>
      <c r="I91" s="3"/>
      <c r="J91" s="3"/>
      <c r="K91" s="3"/>
      <c r="L91" s="51"/>
      <c r="M91" s="51"/>
      <c r="N91" s="51"/>
      <c r="O91" s="51"/>
      <c r="P91" s="52"/>
      <c r="Q91" s="23" t="s">
        <v>117</v>
      </c>
    </row>
    <row r="92" spans="1:17" x14ac:dyDescent="0.25">
      <c r="A92" s="4">
        <v>4</v>
      </c>
      <c r="B92" s="32" t="s">
        <v>215</v>
      </c>
      <c r="C92" s="5" t="s">
        <v>11</v>
      </c>
      <c r="D92" s="26" t="s">
        <v>118</v>
      </c>
      <c r="E92" s="5"/>
      <c r="F92" s="5"/>
      <c r="G92" s="59">
        <v>61046</v>
      </c>
      <c r="H92" s="59">
        <v>2015</v>
      </c>
      <c r="I92" s="5" t="s">
        <v>205</v>
      </c>
      <c r="J92" s="5">
        <v>4</v>
      </c>
      <c r="K92" s="59">
        <v>2010</v>
      </c>
      <c r="L92" s="59">
        <v>67085</v>
      </c>
      <c r="M92" s="26"/>
      <c r="N92" s="26"/>
      <c r="O92" s="26"/>
      <c r="P92" s="47"/>
      <c r="Q92" s="23"/>
    </row>
    <row r="93" spans="1:17" ht="15.75" x14ac:dyDescent="0.25">
      <c r="A93" s="4">
        <v>4</v>
      </c>
      <c r="B93" s="32" t="s">
        <v>216</v>
      </c>
      <c r="C93" s="5" t="s">
        <v>11</v>
      </c>
      <c r="D93" s="26" t="s">
        <v>17</v>
      </c>
      <c r="E93" s="5"/>
      <c r="F93" s="5"/>
      <c r="G93" s="33">
        <f>G6</f>
        <v>878931</v>
      </c>
      <c r="H93" s="5"/>
      <c r="I93" s="5"/>
      <c r="J93" s="5"/>
      <c r="K93" s="5"/>
      <c r="L93" s="26"/>
      <c r="M93" s="26">
        <v>0.02</v>
      </c>
      <c r="N93" s="26">
        <v>81.290000000000006</v>
      </c>
      <c r="O93" s="26"/>
      <c r="P93" s="47">
        <v>0.25</v>
      </c>
      <c r="Q93" s="23"/>
    </row>
    <row r="94" spans="1:17" s="11" customFormat="1" ht="15.75" customHeight="1" x14ac:dyDescent="0.25">
      <c r="A94" s="18">
        <v>2</v>
      </c>
      <c r="B94" s="30"/>
      <c r="C94" s="19" t="s">
        <v>7</v>
      </c>
      <c r="D94" s="19" t="s">
        <v>119</v>
      </c>
      <c r="E94" s="19" t="s">
        <v>119</v>
      </c>
      <c r="F94" s="19">
        <v>402</v>
      </c>
      <c r="G94" s="39">
        <f>AVERAGE(G95,G98)</f>
        <v>80.802142764910428</v>
      </c>
      <c r="H94" s="19"/>
      <c r="I94" s="19"/>
      <c r="J94" s="19"/>
      <c r="K94" s="19"/>
      <c r="L94" s="19"/>
      <c r="M94" s="1"/>
      <c r="N94" s="1"/>
      <c r="O94" s="1"/>
      <c r="P94" s="44"/>
      <c r="Q94" s="22"/>
    </row>
    <row r="95" spans="1:17" ht="15" customHeight="1" x14ac:dyDescent="0.25">
      <c r="A95" s="2">
        <v>3</v>
      </c>
      <c r="B95" s="31"/>
      <c r="C95" s="3" t="s">
        <v>8</v>
      </c>
      <c r="D95" s="3" t="s">
        <v>120</v>
      </c>
      <c r="E95" s="3"/>
      <c r="F95" s="3">
        <v>40201</v>
      </c>
      <c r="G95" s="38">
        <f>IF((100*(G96/G97))&gt;=N97,0,IF((100*(G96/G97))&lt;=M97,100,IF(AND(M97&lt;(100*(G96/G97)),(100*(G96/G97))&lt;N97),100*(1-(((100*(G96/G97))-M97)/(N97-M97))),NAN)))</f>
        <v>81.79578374184095</v>
      </c>
      <c r="H95" s="3"/>
      <c r="I95" s="3"/>
      <c r="J95" s="3"/>
      <c r="K95" s="3"/>
      <c r="L95" s="51"/>
      <c r="M95" s="51"/>
      <c r="N95" s="51"/>
      <c r="O95" s="51"/>
      <c r="P95" s="52"/>
      <c r="Q95" s="23" t="s">
        <v>121</v>
      </c>
    </row>
    <row r="96" spans="1:17" x14ac:dyDescent="0.25">
      <c r="A96" s="4">
        <v>4</v>
      </c>
      <c r="B96" s="32" t="s">
        <v>215</v>
      </c>
      <c r="C96" s="5" t="s">
        <v>11</v>
      </c>
      <c r="D96" s="26" t="s">
        <v>122</v>
      </c>
      <c r="E96" s="5"/>
      <c r="F96" s="5"/>
      <c r="G96" s="59">
        <v>128002</v>
      </c>
      <c r="H96" s="59">
        <v>2015</v>
      </c>
      <c r="I96" s="5" t="s">
        <v>184</v>
      </c>
      <c r="J96" s="5">
        <v>4</v>
      </c>
      <c r="K96" s="59">
        <v>2010</v>
      </c>
      <c r="L96" s="59">
        <v>161694</v>
      </c>
      <c r="M96" s="53"/>
      <c r="N96" s="53"/>
      <c r="O96" s="26"/>
      <c r="P96" s="47"/>
      <c r="Q96" s="23"/>
    </row>
    <row r="97" spans="1:17" ht="15.75" x14ac:dyDescent="0.25">
      <c r="A97" s="4">
        <v>4</v>
      </c>
      <c r="B97" s="32" t="s">
        <v>216</v>
      </c>
      <c r="C97" s="5" t="s">
        <v>11</v>
      </c>
      <c r="D97" s="26" t="s">
        <v>17</v>
      </c>
      <c r="E97" s="5"/>
      <c r="F97" s="5"/>
      <c r="G97" s="33">
        <f>G6</f>
        <v>878931</v>
      </c>
      <c r="H97" s="5"/>
      <c r="I97" s="5"/>
      <c r="J97" s="5"/>
      <c r="K97" s="5"/>
      <c r="L97" s="26"/>
      <c r="M97" s="26">
        <v>0</v>
      </c>
      <c r="N97" s="26">
        <v>80</v>
      </c>
      <c r="O97" s="26"/>
      <c r="P97" s="47"/>
      <c r="Q97" s="23"/>
    </row>
    <row r="98" spans="1:17" ht="15" customHeight="1" x14ac:dyDescent="0.25">
      <c r="A98" s="2">
        <v>3</v>
      </c>
      <c r="B98" s="31"/>
      <c r="C98" s="3" t="s">
        <v>8</v>
      </c>
      <c r="D98" s="3" t="s">
        <v>123</v>
      </c>
      <c r="E98" s="3"/>
      <c r="F98" s="3">
        <v>40202</v>
      </c>
      <c r="G98" s="38">
        <f>IF(POWER((100*(G99/G100)),P100)&gt;=POWER(N100,P100),0,IF(POWER((100*(G99/G100)),P100)&lt;POWER(M100,P100),100,IF(AND(POWER(M100,P100)&lt;POWER((100*(G99/G100)),P100),POWER((100*(G99/G100)),P100)&lt;POWER(N100,P100)),100*(1-((POWER((100*(G99/G100)),P100)-POWER(M100,P100))/(POWER(N100,P100)-POWER(M100,P100)))),NAN)))</f>
        <v>79.808501787979907</v>
      </c>
      <c r="H98" s="3"/>
      <c r="I98" s="3"/>
      <c r="J98" s="3"/>
      <c r="K98" s="3"/>
      <c r="L98" s="51"/>
      <c r="M98" s="51"/>
      <c r="N98" s="51"/>
      <c r="O98" s="51"/>
      <c r="P98" s="52"/>
      <c r="Q98" s="23" t="s">
        <v>124</v>
      </c>
    </row>
    <row r="99" spans="1:17" x14ac:dyDescent="0.25">
      <c r="A99" s="4">
        <v>4</v>
      </c>
      <c r="B99" s="32" t="s">
        <v>215</v>
      </c>
      <c r="C99" s="5" t="s">
        <v>11</v>
      </c>
      <c r="D99" s="26" t="s">
        <v>125</v>
      </c>
      <c r="E99" s="5"/>
      <c r="F99" s="5"/>
      <c r="G99" s="59">
        <v>4741</v>
      </c>
      <c r="H99" s="59">
        <v>2015</v>
      </c>
      <c r="I99" s="5" t="s">
        <v>184</v>
      </c>
      <c r="J99" s="5">
        <v>4</v>
      </c>
      <c r="K99" s="59">
        <v>2010</v>
      </c>
      <c r="L99" s="59">
        <v>5924.00579158033</v>
      </c>
      <c r="M99" s="26"/>
      <c r="N99" s="26"/>
      <c r="O99" s="26"/>
      <c r="P99" s="47"/>
      <c r="Q99" s="23"/>
    </row>
    <row r="100" spans="1:17" x14ac:dyDescent="0.25">
      <c r="A100" s="4">
        <v>4</v>
      </c>
      <c r="B100" s="32" t="s">
        <v>215</v>
      </c>
      <c r="C100" s="5" t="s">
        <v>11</v>
      </c>
      <c r="D100" s="26" t="s">
        <v>126</v>
      </c>
      <c r="E100" s="5"/>
      <c r="F100" s="5"/>
      <c r="G100" s="59">
        <v>73911</v>
      </c>
      <c r="H100" s="59">
        <v>2015</v>
      </c>
      <c r="I100" s="5" t="s">
        <v>184</v>
      </c>
      <c r="J100" s="5">
        <v>4</v>
      </c>
      <c r="K100" s="59">
        <v>2010</v>
      </c>
      <c r="L100" s="59">
        <v>70649.885590548103</v>
      </c>
      <c r="M100" s="26">
        <v>2.7</v>
      </c>
      <c r="N100" s="26">
        <v>62.8</v>
      </c>
      <c r="O100" s="26"/>
      <c r="P100" s="47">
        <v>0.25</v>
      </c>
      <c r="Q100" s="23"/>
    </row>
    <row r="101" spans="1:17" s="11" customFormat="1" ht="15.75" customHeight="1" x14ac:dyDescent="0.25">
      <c r="A101" s="18">
        <v>2</v>
      </c>
      <c r="B101" s="30"/>
      <c r="C101" s="19" t="s">
        <v>7</v>
      </c>
      <c r="D101" s="19" t="s">
        <v>127</v>
      </c>
      <c r="E101" s="19" t="s">
        <v>127</v>
      </c>
      <c r="F101" s="19">
        <v>403</v>
      </c>
      <c r="G101" s="39">
        <f>G102</f>
        <v>96.396153761514071</v>
      </c>
      <c r="H101" s="19"/>
      <c r="I101" s="19"/>
      <c r="J101" s="19"/>
      <c r="K101" s="19"/>
      <c r="L101" s="19"/>
      <c r="M101" s="1"/>
      <c r="N101" s="1"/>
      <c r="O101" s="1"/>
      <c r="P101" s="44"/>
      <c r="Q101" s="22"/>
    </row>
    <row r="102" spans="1:17" ht="15" customHeight="1" x14ac:dyDescent="0.25">
      <c r="A102" s="2">
        <v>3</v>
      </c>
      <c r="B102" s="31"/>
      <c r="C102" s="3" t="s">
        <v>8</v>
      </c>
      <c r="D102" s="3" t="s">
        <v>128</v>
      </c>
      <c r="E102" s="3"/>
      <c r="F102" s="3">
        <v>40301</v>
      </c>
      <c r="G102" s="38">
        <f>IF(OR((G105/G106)/(G103/G104)=0,(G105/G106)/(G103/G104)=2*O106),0,IF((G105/G106)/(G103/G104)=O106,100,IF(AND(0&lt;(G105/G106)/(G103/G104),(G105/G106)/(G103/G104)&lt;2*O106),100*(1-(((G105/G106)/(G103/G104))-O106)/O106),NAN)))</f>
        <v>96.396153761514071</v>
      </c>
      <c r="H102" s="3"/>
      <c r="I102" s="3"/>
      <c r="J102" s="3"/>
      <c r="K102" s="3"/>
      <c r="L102" s="51"/>
      <c r="M102" s="51"/>
      <c r="N102" s="51"/>
      <c r="O102" s="51"/>
      <c r="P102" s="52"/>
      <c r="Q102" s="23" t="s">
        <v>129</v>
      </c>
    </row>
    <row r="103" spans="1:17" x14ac:dyDescent="0.25">
      <c r="A103" s="4">
        <v>4</v>
      </c>
      <c r="B103" s="32" t="s">
        <v>215</v>
      </c>
      <c r="C103" s="5" t="s">
        <v>11</v>
      </c>
      <c r="D103" s="26" t="s">
        <v>130</v>
      </c>
      <c r="E103" s="5"/>
      <c r="F103" s="5"/>
      <c r="G103" s="59">
        <v>22535</v>
      </c>
      <c r="H103" s="59">
        <v>2015</v>
      </c>
      <c r="I103" s="5" t="s">
        <v>184</v>
      </c>
      <c r="J103" s="5">
        <v>4</v>
      </c>
      <c r="K103" s="59">
        <v>2010</v>
      </c>
      <c r="L103" s="59">
        <v>18142.6606924978</v>
      </c>
      <c r="M103" s="26"/>
      <c r="N103" s="26"/>
      <c r="O103" s="26"/>
      <c r="P103" s="47"/>
      <c r="Q103" s="23"/>
    </row>
    <row r="104" spans="1:17" x14ac:dyDescent="0.25">
      <c r="A104" s="4">
        <v>4</v>
      </c>
      <c r="B104" s="32" t="s">
        <v>215</v>
      </c>
      <c r="C104" s="5" t="s">
        <v>11</v>
      </c>
      <c r="D104" s="26" t="s">
        <v>131</v>
      </c>
      <c r="E104" s="5"/>
      <c r="F104" s="5"/>
      <c r="G104" s="59">
        <v>31697</v>
      </c>
      <c r="H104" s="59">
        <v>2015</v>
      </c>
      <c r="I104" s="5" t="s">
        <v>184</v>
      </c>
      <c r="J104" s="5">
        <v>4</v>
      </c>
      <c r="K104" s="59">
        <v>2010</v>
      </c>
      <c r="L104" s="59">
        <v>29634</v>
      </c>
      <c r="M104" s="26"/>
      <c r="N104" s="26"/>
      <c r="O104" s="26"/>
      <c r="P104" s="47"/>
      <c r="Q104" s="23"/>
    </row>
    <row r="105" spans="1:17" x14ac:dyDescent="0.25">
      <c r="A105" s="4">
        <v>4</v>
      </c>
      <c r="B105" s="32" t="s">
        <v>215</v>
      </c>
      <c r="C105" s="5" t="s">
        <v>11</v>
      </c>
      <c r="D105" s="26" t="s">
        <v>132</v>
      </c>
      <c r="E105" s="5"/>
      <c r="F105" s="5"/>
      <c r="G105" s="59">
        <v>22257</v>
      </c>
      <c r="H105" s="59">
        <v>2015</v>
      </c>
      <c r="I105" s="5" t="s">
        <v>184</v>
      </c>
      <c r="J105" s="5">
        <v>4</v>
      </c>
      <c r="K105" s="59">
        <v>2010</v>
      </c>
      <c r="L105" s="59">
        <v>17776.538978259901</v>
      </c>
      <c r="M105" s="26"/>
      <c r="N105" s="26"/>
      <c r="O105" s="26"/>
      <c r="P105" s="47"/>
      <c r="Q105" s="23"/>
    </row>
    <row r="106" spans="1:17" x14ac:dyDescent="0.25">
      <c r="A106" s="4">
        <v>4</v>
      </c>
      <c r="B106" s="32" t="s">
        <v>215</v>
      </c>
      <c r="C106" s="5" t="s">
        <v>11</v>
      </c>
      <c r="D106" s="26" t="s">
        <v>133</v>
      </c>
      <c r="E106" s="5"/>
      <c r="F106" s="5"/>
      <c r="G106" s="59">
        <v>30217</v>
      </c>
      <c r="H106" s="59">
        <v>2015</v>
      </c>
      <c r="I106" s="5" t="s">
        <v>184</v>
      </c>
      <c r="J106" s="5">
        <v>4</v>
      </c>
      <c r="K106" s="59">
        <v>2010</v>
      </c>
      <c r="L106" s="59">
        <v>29121</v>
      </c>
      <c r="M106" s="26">
        <v>0.5</v>
      </c>
      <c r="N106" s="26"/>
      <c r="O106" s="26">
        <v>1</v>
      </c>
      <c r="P106" s="47"/>
      <c r="Q106" s="23"/>
    </row>
    <row r="107" spans="1:17" s="10" customFormat="1" ht="15.75" customHeight="1" x14ac:dyDescent="0.25">
      <c r="A107" s="16">
        <v>1</v>
      </c>
      <c r="B107" s="29"/>
      <c r="C107" s="17" t="s">
        <v>5</v>
      </c>
      <c r="D107" s="17" t="s">
        <v>34</v>
      </c>
      <c r="E107" s="17"/>
      <c r="F107" s="17">
        <v>5</v>
      </c>
      <c r="G107" s="40">
        <f>AVERAGE(G108,G115,G122)</f>
        <v>49.366238227436192</v>
      </c>
      <c r="H107" s="17"/>
      <c r="I107" s="17"/>
      <c r="J107" s="17"/>
      <c r="K107" s="17"/>
      <c r="L107" s="54"/>
      <c r="M107" s="54"/>
      <c r="N107" s="54"/>
      <c r="O107" s="54"/>
      <c r="P107" s="55"/>
      <c r="Q107" s="21" t="s">
        <v>35</v>
      </c>
    </row>
    <row r="108" spans="1:17" s="11" customFormat="1" ht="15.75" customHeight="1" x14ac:dyDescent="0.25">
      <c r="A108" s="18">
        <v>2</v>
      </c>
      <c r="B108" s="30"/>
      <c r="C108" s="19" t="s">
        <v>7</v>
      </c>
      <c r="D108" s="19" t="s">
        <v>134</v>
      </c>
      <c r="E108" s="19" t="s">
        <v>134</v>
      </c>
      <c r="F108" s="19">
        <v>501</v>
      </c>
      <c r="G108" s="39">
        <f>AVERAGE(G109,G111,G113)</f>
        <v>53.292071627342132</v>
      </c>
      <c r="H108" s="19"/>
      <c r="I108" s="19"/>
      <c r="J108" s="19"/>
      <c r="K108" s="19"/>
      <c r="L108" s="19"/>
      <c r="M108" s="1"/>
      <c r="N108" s="1"/>
      <c r="O108" s="1"/>
      <c r="P108" s="44"/>
      <c r="Q108" s="22"/>
    </row>
    <row r="109" spans="1:17" ht="15" customHeight="1" x14ac:dyDescent="0.25">
      <c r="A109" s="2">
        <v>3</v>
      </c>
      <c r="B109" s="31"/>
      <c r="C109" s="3" t="s">
        <v>8</v>
      </c>
      <c r="D109" s="3" t="s">
        <v>135</v>
      </c>
      <c r="E109" s="3"/>
      <c r="F109" s="3">
        <v>50101</v>
      </c>
      <c r="G109" s="37">
        <f>IF(((G110-M110)/(N110-M110))=M110,0,IF(((G110-M110)/(N110-M110))&gt;=N110,100,IF(AND(M110&lt;((G110-M110)/(N110-M110)),((G110-M110)/(N110-M110))&lt;N110),100*((G110-M110)/(N110-M110)),NAN)))</f>
        <v>50</v>
      </c>
      <c r="H109" s="3"/>
      <c r="I109" s="3"/>
      <c r="J109" s="3"/>
      <c r="K109" s="3"/>
      <c r="L109" s="3"/>
      <c r="M109" s="3"/>
      <c r="N109" s="3"/>
      <c r="O109" s="3"/>
      <c r="P109" s="45"/>
      <c r="Q109" s="23" t="s">
        <v>229</v>
      </c>
    </row>
    <row r="110" spans="1:17" x14ac:dyDescent="0.25">
      <c r="A110" s="4">
        <v>4</v>
      </c>
      <c r="B110" s="32" t="s">
        <v>215</v>
      </c>
      <c r="C110" s="5" t="s">
        <v>11</v>
      </c>
      <c r="D110" s="26" t="s">
        <v>136</v>
      </c>
      <c r="E110" s="5"/>
      <c r="F110" s="5"/>
      <c r="G110" s="59">
        <v>5</v>
      </c>
      <c r="H110" s="59">
        <v>2015</v>
      </c>
      <c r="I110" s="5" t="s">
        <v>211</v>
      </c>
      <c r="J110" s="5">
        <v>5</v>
      </c>
      <c r="K110" s="59">
        <v>2010</v>
      </c>
      <c r="L110" s="59">
        <v>0</v>
      </c>
      <c r="M110" s="5">
        <v>0</v>
      </c>
      <c r="N110" s="5">
        <v>10</v>
      </c>
      <c r="O110" s="5"/>
      <c r="P110" s="46"/>
      <c r="Q110" s="23"/>
    </row>
    <row r="111" spans="1:17" ht="15" customHeight="1" x14ac:dyDescent="0.25">
      <c r="A111" s="2">
        <v>3</v>
      </c>
      <c r="B111" s="31"/>
      <c r="C111" s="3" t="s">
        <v>8</v>
      </c>
      <c r="D111" s="3" t="s">
        <v>137</v>
      </c>
      <c r="E111" s="3"/>
      <c r="F111" s="3">
        <v>50102</v>
      </c>
      <c r="G111" s="37">
        <f>IF(G112&gt;=2*O112,0,IF(G112&lt;=O112,100,IF(AND(O112&lt;G112,G112&lt;2*O112),100*(1-(ABS((G112-O112)/O112))),NAN)))</f>
        <v>66.25</v>
      </c>
      <c r="H111" s="3"/>
      <c r="I111" s="3"/>
      <c r="J111" s="3"/>
      <c r="K111" s="3"/>
      <c r="L111" s="3"/>
      <c r="M111" s="3"/>
      <c r="N111" s="3"/>
      <c r="O111" s="3"/>
      <c r="P111" s="45"/>
      <c r="Q111" s="23" t="s">
        <v>138</v>
      </c>
    </row>
    <row r="112" spans="1:17" x14ac:dyDescent="0.25">
      <c r="A112" s="4">
        <v>4</v>
      </c>
      <c r="B112" s="32" t="s">
        <v>215</v>
      </c>
      <c r="C112" s="5" t="s">
        <v>11</v>
      </c>
      <c r="D112" s="26" t="s">
        <v>222</v>
      </c>
      <c r="E112" s="5"/>
      <c r="F112" s="5"/>
      <c r="G112" s="59">
        <v>53.5</v>
      </c>
      <c r="H112" s="59">
        <v>2015</v>
      </c>
      <c r="I112" s="5" t="s">
        <v>209</v>
      </c>
      <c r="J112" s="5">
        <v>5</v>
      </c>
      <c r="K112" s="59">
        <v>2014</v>
      </c>
      <c r="L112" s="59">
        <v>46.1</v>
      </c>
      <c r="M112" s="5"/>
      <c r="N112" s="5"/>
      <c r="O112" s="5">
        <v>40</v>
      </c>
      <c r="P112" s="46"/>
      <c r="Q112" s="23"/>
    </row>
    <row r="113" spans="1:17" ht="15" customHeight="1" x14ac:dyDescent="0.25">
      <c r="A113" s="2">
        <v>3</v>
      </c>
      <c r="B113" s="31"/>
      <c r="C113" s="3" t="s">
        <v>8</v>
      </c>
      <c r="D113" s="3" t="s">
        <v>139</v>
      </c>
      <c r="E113" s="3"/>
      <c r="F113" s="3">
        <v>50103</v>
      </c>
      <c r="G113" s="68">
        <f>IF(POWER(G114/112336.538,P114)&gt;=POWER(N114,P114),0,IF(POWER(G114/112336.538,P114)&lt;=POWER(M114,P114),100,IF(POWER(M114,P114)&lt;POWER(G114/112336.538,P114),100*(1-(POWER(G114/112336.538,P114)-POWER(M114,P114))/(POWER(N114,P114)-POWER(M114,P114))),NAN)))</f>
        <v>43.626214882026396</v>
      </c>
      <c r="H113" s="3"/>
      <c r="I113" s="3"/>
      <c r="J113" s="3"/>
      <c r="K113" s="3"/>
      <c r="L113" s="3"/>
      <c r="M113" s="3"/>
      <c r="N113" s="3"/>
      <c r="O113" s="3"/>
      <c r="P113" s="45"/>
      <c r="Q113" s="23" t="s">
        <v>140</v>
      </c>
    </row>
    <row r="114" spans="1:17" x14ac:dyDescent="0.25">
      <c r="A114" s="4">
        <v>4</v>
      </c>
      <c r="B114" s="32" t="s">
        <v>215</v>
      </c>
      <c r="C114" s="5" t="s">
        <v>11</v>
      </c>
      <c r="D114" s="26" t="s">
        <v>141</v>
      </c>
      <c r="E114" s="5"/>
      <c r="F114" s="5"/>
      <c r="G114" s="59">
        <v>512047.5</v>
      </c>
      <c r="H114" s="59">
        <v>2015</v>
      </c>
      <c r="I114" s="5" t="s">
        <v>223</v>
      </c>
      <c r="J114" s="5">
        <v>5</v>
      </c>
      <c r="K114" s="59">
        <v>2010</v>
      </c>
      <c r="L114" s="59">
        <v>493451</v>
      </c>
      <c r="M114" s="5">
        <v>0.01</v>
      </c>
      <c r="N114" s="5">
        <v>40.31</v>
      </c>
      <c r="O114" s="5"/>
      <c r="P114" s="47">
        <v>0.2</v>
      </c>
      <c r="Q114" s="23"/>
    </row>
    <row r="115" spans="1:17" s="11" customFormat="1" ht="15.75" customHeight="1" x14ac:dyDescent="0.25">
      <c r="A115" s="18">
        <v>2</v>
      </c>
      <c r="B115" s="30"/>
      <c r="C115" s="19" t="s">
        <v>7</v>
      </c>
      <c r="D115" s="19" t="s">
        <v>142</v>
      </c>
      <c r="E115" s="19" t="s">
        <v>142</v>
      </c>
      <c r="F115" s="19">
        <v>502</v>
      </c>
      <c r="G115" s="39">
        <f>AVERAGE(G116,G119)</f>
        <v>78.161752982988403</v>
      </c>
      <c r="H115" s="19"/>
      <c r="I115" s="19"/>
      <c r="J115" s="19"/>
      <c r="K115" s="19"/>
      <c r="L115" s="19"/>
      <c r="M115" s="1"/>
      <c r="N115" s="1"/>
      <c r="O115" s="1"/>
      <c r="P115" s="44"/>
      <c r="Q115" s="22"/>
    </row>
    <row r="116" spans="1:17" ht="15" customHeight="1" x14ac:dyDescent="0.25">
      <c r="A116" s="2">
        <v>3</v>
      </c>
      <c r="B116" s="31"/>
      <c r="C116" s="3" t="s">
        <v>8</v>
      </c>
      <c r="D116" s="3" t="s">
        <v>143</v>
      </c>
      <c r="E116" s="3"/>
      <c r="F116" s="3">
        <v>50201</v>
      </c>
      <c r="G116" s="38">
        <f>IF((100*(G117/G118))&lt;=M118,0,IF((100*(G117/G118))&gt;N118,100,IF(AND(M118&lt;(100*(G117/G118)),(100*(G117/G118))&lt;=N118),(100*(G117/G118)),NAN)))</f>
        <v>99.449397726464468</v>
      </c>
      <c r="H116" s="3"/>
      <c r="I116" s="3"/>
      <c r="J116" s="3"/>
      <c r="K116" s="3"/>
      <c r="L116" s="3"/>
      <c r="M116" s="3"/>
      <c r="N116" s="3"/>
      <c r="O116" s="3"/>
      <c r="P116" s="45"/>
      <c r="Q116" s="23" t="s">
        <v>144</v>
      </c>
    </row>
    <row r="117" spans="1:17" x14ac:dyDescent="0.25">
      <c r="A117" s="4">
        <v>4</v>
      </c>
      <c r="B117" s="32" t="s">
        <v>215</v>
      </c>
      <c r="C117" s="5" t="s">
        <v>11</v>
      </c>
      <c r="D117" s="26" t="s">
        <v>145</v>
      </c>
      <c r="E117" s="5"/>
      <c r="F117" s="5"/>
      <c r="G117" s="59">
        <v>237695</v>
      </c>
      <c r="H117" s="59">
        <v>2015</v>
      </c>
      <c r="I117" s="5" t="s">
        <v>191</v>
      </c>
      <c r="J117" s="5">
        <v>5</v>
      </c>
      <c r="K117" s="59">
        <v>2010</v>
      </c>
      <c r="L117" s="59">
        <v>204124</v>
      </c>
      <c r="M117" s="53"/>
      <c r="N117" s="53"/>
      <c r="O117" s="26"/>
      <c r="P117" s="46"/>
      <c r="Q117" s="23"/>
    </row>
    <row r="118" spans="1:17" ht="15.75" x14ac:dyDescent="0.25">
      <c r="A118" s="4">
        <v>4</v>
      </c>
      <c r="B118" s="32" t="s">
        <v>216</v>
      </c>
      <c r="C118" s="5" t="s">
        <v>11</v>
      </c>
      <c r="D118" s="26" t="s">
        <v>146</v>
      </c>
      <c r="E118" s="5"/>
      <c r="F118" s="5"/>
      <c r="G118" s="33">
        <f>G26</f>
        <v>239011</v>
      </c>
      <c r="H118" s="5"/>
      <c r="I118" s="5"/>
      <c r="J118" s="5"/>
      <c r="K118" s="5"/>
      <c r="L118" s="26"/>
      <c r="M118" s="26">
        <v>0</v>
      </c>
      <c r="N118" s="26">
        <v>100</v>
      </c>
      <c r="O118" s="26"/>
      <c r="P118" s="46"/>
      <c r="Q118" s="23"/>
    </row>
    <row r="119" spans="1:17" ht="15" customHeight="1" x14ac:dyDescent="0.25">
      <c r="A119" s="2">
        <v>3</v>
      </c>
      <c r="B119" s="31"/>
      <c r="C119" s="3" t="s">
        <v>8</v>
      </c>
      <c r="D119" s="3" t="s">
        <v>147</v>
      </c>
      <c r="E119" s="3"/>
      <c r="F119" s="3">
        <v>50202</v>
      </c>
      <c r="G119" s="38">
        <f>IF((100*(G120/G121))&lt;M121,0,IF((100*(G120/G121))&gt;N121,100,IF(AND(M121&lt;(100*(G120/G121)),(100*(G120/G121))&lt;N121),(100*(G120/G121)),NAN)))</f>
        <v>56.874108239512331</v>
      </c>
      <c r="H119" s="3"/>
      <c r="I119" s="3"/>
      <c r="J119" s="3"/>
      <c r="K119" s="3"/>
      <c r="L119" s="51"/>
      <c r="M119" s="51"/>
      <c r="N119" s="51"/>
      <c r="O119" s="51"/>
      <c r="P119" s="45"/>
      <c r="Q119" s="23" t="s">
        <v>148</v>
      </c>
    </row>
    <row r="120" spans="1:17" x14ac:dyDescent="0.25">
      <c r="A120" s="4">
        <v>4</v>
      </c>
      <c r="B120" s="32" t="s">
        <v>215</v>
      </c>
      <c r="C120" s="5" t="s">
        <v>11</v>
      </c>
      <c r="D120" s="26" t="s">
        <v>149</v>
      </c>
      <c r="E120" s="5"/>
      <c r="F120" s="5"/>
      <c r="G120" s="59">
        <v>1203</v>
      </c>
      <c r="H120" s="59">
        <v>2015</v>
      </c>
      <c r="I120" s="5" t="s">
        <v>206</v>
      </c>
      <c r="J120" s="5">
        <v>5</v>
      </c>
      <c r="K120" s="59">
        <v>2010</v>
      </c>
      <c r="L120" s="59">
        <v>978</v>
      </c>
      <c r="M120" s="26"/>
      <c r="N120" s="26"/>
      <c r="O120" s="26"/>
      <c r="P120" s="46"/>
      <c r="Q120" s="23"/>
    </row>
    <row r="121" spans="1:17" x14ac:dyDescent="0.25">
      <c r="A121" s="4">
        <v>4</v>
      </c>
      <c r="B121" s="32" t="s">
        <v>215</v>
      </c>
      <c r="C121" s="5" t="s">
        <v>11</v>
      </c>
      <c r="D121" s="26" t="s">
        <v>150</v>
      </c>
      <c r="E121" s="5"/>
      <c r="F121" s="5"/>
      <c r="G121" s="71">
        <v>2115.1979999999999</v>
      </c>
      <c r="H121" s="59">
        <v>2015</v>
      </c>
      <c r="I121" s="5" t="s">
        <v>196</v>
      </c>
      <c r="J121" s="5">
        <v>5</v>
      </c>
      <c r="K121" s="59">
        <v>2010</v>
      </c>
      <c r="L121" s="59">
        <v>2168</v>
      </c>
      <c r="M121" s="5">
        <v>0</v>
      </c>
      <c r="N121" s="5">
        <v>100</v>
      </c>
      <c r="O121" s="5"/>
      <c r="P121" s="46"/>
      <c r="Q121" s="23"/>
    </row>
    <row r="122" spans="1:17" s="11" customFormat="1" ht="15.75" customHeight="1" x14ac:dyDescent="0.25">
      <c r="A122" s="18">
        <v>2</v>
      </c>
      <c r="B122" s="30"/>
      <c r="C122" s="19" t="s">
        <v>7</v>
      </c>
      <c r="D122" s="19" t="s">
        <v>151</v>
      </c>
      <c r="E122" s="19" t="s">
        <v>151</v>
      </c>
      <c r="F122" s="19">
        <v>503</v>
      </c>
      <c r="G122" s="39">
        <f>G123</f>
        <v>16.644890071978043</v>
      </c>
      <c r="H122" s="19"/>
      <c r="I122" s="19"/>
      <c r="J122" s="19"/>
      <c r="K122" s="19"/>
      <c r="L122" s="19"/>
      <c r="M122" s="1"/>
      <c r="N122" s="1"/>
      <c r="O122" s="1"/>
      <c r="P122" s="44"/>
      <c r="Q122" s="22"/>
    </row>
    <row r="123" spans="1:17" ht="15" customHeight="1" x14ac:dyDescent="0.25">
      <c r="A123" s="2">
        <v>3</v>
      </c>
      <c r="B123" s="31"/>
      <c r="C123" s="3" t="s">
        <v>8</v>
      </c>
      <c r="D123" s="3" t="s">
        <v>152</v>
      </c>
      <c r="E123" s="3"/>
      <c r="F123" s="3">
        <v>50301</v>
      </c>
      <c r="G123" s="38">
        <f>IF((100*(G124/G125))=M125,0,IF((100*(G124/G125))&gt;=N125,100,IF(AND(M125&lt;(100*(G124/G125)),(100*(G124/G125))&lt;N125),100*(((100*(G124/G125))-M125)/(N125-M125)),NAN)))</f>
        <v>16.644890071978043</v>
      </c>
      <c r="H123" s="3"/>
      <c r="I123" s="3"/>
      <c r="J123" s="3"/>
      <c r="K123" s="3"/>
      <c r="L123" s="3"/>
      <c r="M123" s="3"/>
      <c r="N123" s="3"/>
      <c r="O123" s="3"/>
      <c r="P123" s="45"/>
      <c r="Q123" s="23" t="s">
        <v>153</v>
      </c>
    </row>
    <row r="124" spans="1:17" x14ac:dyDescent="0.25">
      <c r="A124" s="4">
        <v>4</v>
      </c>
      <c r="B124" s="32" t="s">
        <v>215</v>
      </c>
      <c r="C124" s="5" t="s">
        <v>11</v>
      </c>
      <c r="D124" s="26" t="s">
        <v>192</v>
      </c>
      <c r="E124" s="5"/>
      <c r="F124" s="5"/>
      <c r="G124" s="71">
        <v>8690.8573070000002</v>
      </c>
      <c r="H124" s="59">
        <v>2015</v>
      </c>
      <c r="I124" s="5" t="s">
        <v>210</v>
      </c>
      <c r="J124" s="5">
        <v>5</v>
      </c>
      <c r="K124" s="59">
        <v>2010</v>
      </c>
      <c r="L124" s="59">
        <v>6784.852132</v>
      </c>
      <c r="M124" s="5"/>
      <c r="N124" s="5"/>
      <c r="O124" s="5"/>
      <c r="P124" s="46"/>
      <c r="Q124" s="23"/>
    </row>
    <row r="125" spans="1:17" x14ac:dyDescent="0.25">
      <c r="A125" s="4">
        <v>4</v>
      </c>
      <c r="B125" s="32" t="s">
        <v>215</v>
      </c>
      <c r="C125" s="5" t="s">
        <v>11</v>
      </c>
      <c r="D125" s="26" t="s">
        <v>194</v>
      </c>
      <c r="E125" s="5"/>
      <c r="F125" s="5"/>
      <c r="G125" s="71">
        <v>261066.82800000001</v>
      </c>
      <c r="H125" s="59">
        <v>2015</v>
      </c>
      <c r="I125" s="5" t="s">
        <v>210</v>
      </c>
      <c r="J125" s="5">
        <v>5</v>
      </c>
      <c r="K125" s="59">
        <v>2010</v>
      </c>
      <c r="L125" s="59">
        <v>241490.89499999999</v>
      </c>
      <c r="M125" s="5">
        <v>0</v>
      </c>
      <c r="N125" s="5">
        <v>20</v>
      </c>
      <c r="O125" s="5"/>
      <c r="P125" s="46"/>
      <c r="Q125" s="23"/>
    </row>
    <row r="126" spans="1:17" s="10" customFormat="1" ht="15.75" customHeight="1" x14ac:dyDescent="0.25">
      <c r="A126" s="16">
        <v>1</v>
      </c>
      <c r="B126" s="29"/>
      <c r="C126" s="17" t="s">
        <v>5</v>
      </c>
      <c r="D126" s="17" t="s">
        <v>36</v>
      </c>
      <c r="E126" s="17"/>
      <c r="F126" s="17">
        <v>6</v>
      </c>
      <c r="G126" s="40">
        <f>AVERAGE(G127,G131,G141)</f>
        <v>53.344474096361807</v>
      </c>
      <c r="H126" s="17"/>
      <c r="I126" s="17"/>
      <c r="J126" s="17"/>
      <c r="K126" s="17"/>
      <c r="L126" s="17"/>
      <c r="M126" s="17"/>
      <c r="N126" s="17"/>
      <c r="O126" s="17"/>
      <c r="P126" s="43"/>
      <c r="Q126" s="21" t="s">
        <v>37</v>
      </c>
    </row>
    <row r="127" spans="1:17" s="11" customFormat="1" ht="15.75" customHeight="1" x14ac:dyDescent="0.25">
      <c r="A127" s="18">
        <v>2</v>
      </c>
      <c r="B127" s="30"/>
      <c r="C127" s="19" t="s">
        <v>7</v>
      </c>
      <c r="D127" s="19" t="s">
        <v>154</v>
      </c>
      <c r="E127" s="19" t="s">
        <v>154</v>
      </c>
      <c r="F127" s="19">
        <v>601</v>
      </c>
      <c r="G127" s="19">
        <v>53.26</v>
      </c>
      <c r="H127" s="19"/>
      <c r="I127" s="19"/>
      <c r="J127" s="19"/>
      <c r="K127" s="19"/>
      <c r="L127" s="19"/>
      <c r="M127" s="1"/>
      <c r="N127" s="1"/>
      <c r="O127" s="1"/>
      <c r="P127" s="44"/>
      <c r="Q127" s="22"/>
    </row>
    <row r="128" spans="1:17" ht="15" customHeight="1" x14ac:dyDescent="0.25">
      <c r="A128" s="2">
        <v>3</v>
      </c>
      <c r="B128" s="31"/>
      <c r="C128" s="3" t="s">
        <v>8</v>
      </c>
      <c r="D128" s="3" t="s">
        <v>155</v>
      </c>
      <c r="E128" s="3"/>
      <c r="F128" s="3">
        <v>60101</v>
      </c>
      <c r="G128" s="38">
        <f>IF((100*(G129/G130))&lt;=M130,0,IF((100*(G129/G130))&gt;N130,100,IF(AND(M130&lt;(100*(G129/G130)),(100*(G129/G130))&lt;N130),100*(G129/G130),NAN)))</f>
        <v>53.218338828013636</v>
      </c>
      <c r="H128" s="3"/>
      <c r="I128" s="3"/>
      <c r="J128" s="3"/>
      <c r="K128" s="3"/>
      <c r="L128" s="3"/>
      <c r="M128" s="3"/>
      <c r="N128" s="3"/>
      <c r="O128" s="3"/>
      <c r="P128" s="45"/>
      <c r="Q128" s="23" t="s">
        <v>156</v>
      </c>
    </row>
    <row r="129" spans="1:17" x14ac:dyDescent="0.25">
      <c r="A129" s="4">
        <v>4</v>
      </c>
      <c r="B129" s="32" t="s">
        <v>215</v>
      </c>
      <c r="C129" s="5" t="s">
        <v>11</v>
      </c>
      <c r="D129" s="26" t="s">
        <v>157</v>
      </c>
      <c r="E129" s="5"/>
      <c r="F129" s="5"/>
      <c r="G129" s="59">
        <v>340120</v>
      </c>
      <c r="H129" s="59">
        <v>2015</v>
      </c>
      <c r="I129" s="5" t="s">
        <v>193</v>
      </c>
      <c r="J129" s="5">
        <v>6</v>
      </c>
      <c r="K129" s="59">
        <v>2009</v>
      </c>
      <c r="L129" s="59">
        <v>311290</v>
      </c>
      <c r="M129" s="5"/>
      <c r="N129" s="5"/>
      <c r="O129" s="5"/>
      <c r="P129" s="46"/>
      <c r="Q129" s="23"/>
    </row>
    <row r="130" spans="1:17" x14ac:dyDescent="0.25">
      <c r="A130" s="4">
        <v>4</v>
      </c>
      <c r="B130" s="32" t="s">
        <v>215</v>
      </c>
      <c r="C130" s="5" t="s">
        <v>11</v>
      </c>
      <c r="D130" s="26" t="s">
        <v>158</v>
      </c>
      <c r="E130" s="5"/>
      <c r="F130" s="5"/>
      <c r="G130" s="59">
        <v>639103</v>
      </c>
      <c r="H130" s="59">
        <v>2015</v>
      </c>
      <c r="I130" s="5" t="s">
        <v>193</v>
      </c>
      <c r="J130" s="5">
        <v>6</v>
      </c>
      <c r="K130" s="59">
        <v>2009</v>
      </c>
      <c r="L130" s="59">
        <v>534897</v>
      </c>
      <c r="M130" s="5">
        <v>0</v>
      </c>
      <c r="N130" s="5">
        <v>100</v>
      </c>
      <c r="O130" s="5"/>
      <c r="P130" s="46"/>
      <c r="Q130" s="23"/>
    </row>
    <row r="131" spans="1:17" s="11" customFormat="1" ht="15.75" customHeight="1" x14ac:dyDescent="0.25">
      <c r="A131" s="18">
        <v>2</v>
      </c>
      <c r="B131" s="30"/>
      <c r="C131" s="19" t="s">
        <v>7</v>
      </c>
      <c r="D131" s="19" t="s">
        <v>159</v>
      </c>
      <c r="E131" s="19" t="s">
        <v>160</v>
      </c>
      <c r="F131" s="19">
        <v>602</v>
      </c>
      <c r="G131" s="39">
        <f>AVERAGE(G132,G135,G138)</f>
        <v>68.390498447130838</v>
      </c>
      <c r="H131" s="19"/>
      <c r="I131" s="19"/>
      <c r="J131" s="19"/>
      <c r="K131" s="19"/>
      <c r="L131" s="19"/>
      <c r="M131" s="1"/>
      <c r="N131" s="1"/>
      <c r="O131" s="1"/>
      <c r="P131" s="44"/>
      <c r="Q131" s="22"/>
    </row>
    <row r="132" spans="1:17" ht="15" customHeight="1" x14ac:dyDescent="0.25">
      <c r="A132" s="2">
        <v>3</v>
      </c>
      <c r="B132" s="31"/>
      <c r="C132" s="3" t="s">
        <v>8</v>
      </c>
      <c r="D132" s="3" t="s">
        <v>161</v>
      </c>
      <c r="E132" s="3"/>
      <c r="F132" s="3">
        <v>60201</v>
      </c>
      <c r="G132" s="38">
        <f>IF(OR((100*(G133/G134))=0,(100*(G133/G134))&gt;=2*O134),0,IF((100*(G133/G134))=O134,100,IF(AND(0&lt;(100*(G133/G134)),(100*(G133/G134))&lt;2*O134),100*(1-ABS((((100*(G133/G134))-O134)/O134))),NAN)))</f>
        <v>46.889416194137226</v>
      </c>
      <c r="H132" s="3"/>
      <c r="I132" s="3"/>
      <c r="J132" s="3"/>
      <c r="K132" s="3"/>
      <c r="L132" s="3"/>
      <c r="M132" s="3"/>
      <c r="N132" s="3"/>
      <c r="O132" s="3"/>
      <c r="P132" s="45"/>
      <c r="Q132" s="23" t="s">
        <v>162</v>
      </c>
    </row>
    <row r="133" spans="1:17" x14ac:dyDescent="0.25">
      <c r="A133" s="4">
        <v>4</v>
      </c>
      <c r="B133" s="32" t="s">
        <v>215</v>
      </c>
      <c r="C133" s="5" t="s">
        <v>11</v>
      </c>
      <c r="D133" s="26" t="s">
        <v>163</v>
      </c>
      <c r="E133" s="5"/>
      <c r="F133" s="5"/>
      <c r="G133" s="59">
        <v>3978365525</v>
      </c>
      <c r="H133" s="59">
        <v>2015</v>
      </c>
      <c r="I133" s="5" t="s">
        <v>198</v>
      </c>
      <c r="J133" s="5">
        <v>6</v>
      </c>
      <c r="K133" s="59">
        <v>2010</v>
      </c>
      <c r="L133" s="59">
        <v>2924756204</v>
      </c>
      <c r="M133" s="5"/>
      <c r="N133" s="5"/>
      <c r="O133" s="5"/>
      <c r="P133" s="46"/>
      <c r="Q133" s="23"/>
    </row>
    <row r="134" spans="1:17" x14ac:dyDescent="0.25">
      <c r="A134" s="4">
        <v>4</v>
      </c>
      <c r="B134" s="32" t="s">
        <v>215</v>
      </c>
      <c r="C134" s="5" t="s">
        <v>11</v>
      </c>
      <c r="D134" s="26" t="s">
        <v>164</v>
      </c>
      <c r="E134" s="5"/>
      <c r="F134" s="5"/>
      <c r="G134" s="59">
        <v>2598360888</v>
      </c>
      <c r="H134" s="59">
        <v>2015</v>
      </c>
      <c r="I134" s="5" t="s">
        <v>197</v>
      </c>
      <c r="J134" s="5">
        <v>6</v>
      </c>
      <c r="K134" s="59">
        <v>2010</v>
      </c>
      <c r="L134" s="59">
        <v>2036748272</v>
      </c>
      <c r="M134" s="5"/>
      <c r="N134" s="5"/>
      <c r="O134" s="5">
        <v>100</v>
      </c>
      <c r="P134" s="46"/>
      <c r="Q134" s="23"/>
    </row>
    <row r="135" spans="1:17" ht="15" customHeight="1" x14ac:dyDescent="0.25">
      <c r="A135" s="2">
        <v>3</v>
      </c>
      <c r="B135" s="31"/>
      <c r="C135" s="3" t="s">
        <v>8</v>
      </c>
      <c r="D135" s="3" t="s">
        <v>165</v>
      </c>
      <c r="E135" s="3"/>
      <c r="F135" s="3">
        <v>60202</v>
      </c>
      <c r="G135" s="38">
        <f>IF((100*(G136/G137))&lt;=M137,0,IF((100*(G136/G137))&gt;=N137,100,IF(AND(M137&lt;(100*(G136/G137)),(100*(G136/G137))&lt;N137),100*(((100*(G136/G137))-M137)/(N137-M137)),NAN)))</f>
        <v>58.282079147255303</v>
      </c>
      <c r="H135" s="62"/>
      <c r="I135" s="3"/>
      <c r="J135" s="3"/>
      <c r="K135" s="3"/>
      <c r="L135" s="3"/>
      <c r="M135" s="3"/>
      <c r="N135" s="3"/>
      <c r="O135" s="3"/>
      <c r="P135" s="45"/>
      <c r="Q135" s="23" t="s">
        <v>166</v>
      </c>
    </row>
    <row r="136" spans="1:17" x14ac:dyDescent="0.25">
      <c r="A136" s="4">
        <v>4</v>
      </c>
      <c r="B136" s="32" t="s">
        <v>215</v>
      </c>
      <c r="C136" s="5" t="s">
        <v>11</v>
      </c>
      <c r="D136" s="26" t="s">
        <v>167</v>
      </c>
      <c r="E136" s="5"/>
      <c r="F136" s="5"/>
      <c r="G136" s="59">
        <v>2137086850</v>
      </c>
      <c r="H136" s="59">
        <v>2015</v>
      </c>
      <c r="I136" s="5" t="s">
        <v>198</v>
      </c>
      <c r="J136" s="5">
        <v>6</v>
      </c>
      <c r="K136" s="59">
        <v>2010</v>
      </c>
      <c r="L136" s="59">
        <v>1125990119</v>
      </c>
      <c r="M136" s="5"/>
      <c r="N136" s="26"/>
      <c r="O136" s="26"/>
      <c r="P136" s="46"/>
      <c r="Q136" s="23"/>
    </row>
    <row r="137" spans="1:17" x14ac:dyDescent="0.25">
      <c r="A137" s="4">
        <v>4</v>
      </c>
      <c r="B137" s="32" t="s">
        <v>215</v>
      </c>
      <c r="C137" s="5" t="s">
        <v>11</v>
      </c>
      <c r="D137" s="26" t="s">
        <v>168</v>
      </c>
      <c r="E137" s="5"/>
      <c r="F137" s="5"/>
      <c r="G137" s="59">
        <v>3978365525</v>
      </c>
      <c r="H137" s="59">
        <v>2015</v>
      </c>
      <c r="I137" s="5" t="s">
        <v>198</v>
      </c>
      <c r="J137" s="5">
        <v>6</v>
      </c>
      <c r="K137" s="59">
        <v>2010</v>
      </c>
      <c r="L137" s="59">
        <v>2924756204</v>
      </c>
      <c r="M137" s="5">
        <v>17</v>
      </c>
      <c r="N137" s="26">
        <v>80</v>
      </c>
      <c r="O137" s="26"/>
      <c r="P137" s="46"/>
      <c r="Q137" s="23"/>
    </row>
    <row r="138" spans="1:17" ht="15" customHeight="1" x14ac:dyDescent="0.25">
      <c r="A138" s="2">
        <v>3</v>
      </c>
      <c r="B138" s="31"/>
      <c r="C138" s="3" t="s">
        <v>8</v>
      </c>
      <c r="D138" s="3" t="s">
        <v>169</v>
      </c>
      <c r="E138" s="3"/>
      <c r="F138" s="3">
        <v>60203</v>
      </c>
      <c r="G138" s="37">
        <f>IF(100*(G139/G140)&gt;=2*O140,0,IF(100*(G139/G140)&lt;=O140,100,IF(AND(O140&lt;100*(G139/G140),100*(G139/G140)&lt;2*O140),100*(1-ABS(((100*(G139/G140))-O140)/O140)),"Error")))</f>
        <v>100</v>
      </c>
      <c r="H138" s="3"/>
      <c r="I138" s="3"/>
      <c r="J138" s="3"/>
      <c r="K138" s="3"/>
      <c r="L138" s="3"/>
      <c r="M138" s="3"/>
      <c r="N138" s="51"/>
      <c r="O138" s="51"/>
      <c r="P138" s="45"/>
      <c r="Q138" s="23" t="s">
        <v>170</v>
      </c>
    </row>
    <row r="139" spans="1:17" x14ac:dyDescent="0.25">
      <c r="A139" s="4">
        <v>4</v>
      </c>
      <c r="B139" s="32" t="s">
        <v>215</v>
      </c>
      <c r="C139" s="5" t="s">
        <v>11</v>
      </c>
      <c r="D139" s="26" t="s">
        <v>171</v>
      </c>
      <c r="E139" s="5"/>
      <c r="F139" s="5"/>
      <c r="G139" s="59">
        <v>162148149</v>
      </c>
      <c r="H139" s="59">
        <v>2015</v>
      </c>
      <c r="I139" s="5" t="s">
        <v>212</v>
      </c>
      <c r="J139" s="5">
        <v>6</v>
      </c>
      <c r="K139" s="59">
        <v>2010</v>
      </c>
      <c r="L139" s="59">
        <v>759400000</v>
      </c>
      <c r="M139" s="5"/>
      <c r="N139" s="26"/>
      <c r="O139" s="53"/>
      <c r="P139" s="46"/>
      <c r="Q139" s="23"/>
    </row>
    <row r="140" spans="1:17" ht="15.75" x14ac:dyDescent="0.25">
      <c r="A140" s="4">
        <v>4</v>
      </c>
      <c r="B140" s="32" t="s">
        <v>216</v>
      </c>
      <c r="C140" s="5" t="s">
        <v>11</v>
      </c>
      <c r="D140" s="26" t="s">
        <v>168</v>
      </c>
      <c r="E140" s="5"/>
      <c r="F140" s="5"/>
      <c r="G140" s="33">
        <f>G137</f>
        <v>3978365525</v>
      </c>
      <c r="H140" s="5"/>
      <c r="I140" s="5"/>
      <c r="J140" s="5"/>
      <c r="K140" s="5"/>
      <c r="L140" s="5"/>
      <c r="M140" s="5"/>
      <c r="N140" s="26"/>
      <c r="O140" s="26">
        <v>60</v>
      </c>
      <c r="P140" s="46"/>
      <c r="Q140" s="23"/>
    </row>
    <row r="141" spans="1:17" s="11" customFormat="1" ht="15.75" customHeight="1" x14ac:dyDescent="0.25">
      <c r="A141" s="18">
        <v>2</v>
      </c>
      <c r="B141" s="30"/>
      <c r="C141" s="19" t="s">
        <v>7</v>
      </c>
      <c r="D141" s="19" t="s">
        <v>172</v>
      </c>
      <c r="E141" s="19" t="s">
        <v>173</v>
      </c>
      <c r="F141" s="19">
        <v>603</v>
      </c>
      <c r="G141" s="19">
        <f>G142</f>
        <v>38.382923841954586</v>
      </c>
      <c r="H141" s="19"/>
      <c r="I141" s="19"/>
      <c r="J141" s="19"/>
      <c r="K141" s="19"/>
      <c r="L141" s="19"/>
      <c r="M141" s="1"/>
      <c r="N141" s="1"/>
      <c r="O141" s="1"/>
      <c r="P141" s="44"/>
      <c r="Q141" s="22"/>
    </row>
    <row r="142" spans="1:17" ht="15" customHeight="1" x14ac:dyDescent="0.25">
      <c r="A142" s="2">
        <v>3</v>
      </c>
      <c r="B142" s="31"/>
      <c r="C142" s="3" t="s">
        <v>8</v>
      </c>
      <c r="D142" s="3" t="s">
        <v>174</v>
      </c>
      <c r="E142" s="3"/>
      <c r="F142" s="3">
        <v>60301</v>
      </c>
      <c r="G142" s="38">
        <f>IF(ABS(G143/G144)&gt;=N144,0,IF(ABS(G143/G144)=M144,100,IF(AND(M144&lt;ABS(G143/G144),ABS(G143/G144)&lt;N144),100*(1-((ABS(G143/G144)-M144)/(N144-M144))),"error")))</f>
        <v>38.382923841954586</v>
      </c>
      <c r="H142" s="3"/>
      <c r="I142" s="3"/>
      <c r="J142" s="3"/>
      <c r="K142" s="3"/>
      <c r="L142" s="3"/>
      <c r="M142" s="3"/>
      <c r="N142" s="3"/>
      <c r="O142" s="3"/>
      <c r="P142" s="45"/>
      <c r="Q142" s="23" t="s">
        <v>178</v>
      </c>
    </row>
    <row r="143" spans="1:17" x14ac:dyDescent="0.25">
      <c r="A143" s="4">
        <v>4</v>
      </c>
      <c r="B143" s="32" t="s">
        <v>215</v>
      </c>
      <c r="C143" s="5" t="s">
        <v>11</v>
      </c>
      <c r="D143" s="26" t="s">
        <v>175</v>
      </c>
      <c r="E143" s="5"/>
      <c r="F143" s="5"/>
      <c r="G143" s="69">
        <v>4.2464238327558599</v>
      </c>
      <c r="H143" s="59">
        <v>2015</v>
      </c>
      <c r="I143" s="5" t="s">
        <v>213</v>
      </c>
      <c r="J143" s="5">
        <v>6</v>
      </c>
      <c r="K143" s="59">
        <v>2010</v>
      </c>
      <c r="L143" s="59">
        <v>4.7300000000000004</v>
      </c>
      <c r="M143" s="5"/>
      <c r="N143" s="5"/>
      <c r="O143" s="5"/>
      <c r="P143" s="46"/>
      <c r="Q143" s="23"/>
    </row>
    <row r="144" spans="1:17" x14ac:dyDescent="0.25">
      <c r="A144" s="8">
        <v>4</v>
      </c>
      <c r="B144" s="32" t="s">
        <v>215</v>
      </c>
      <c r="C144" s="9" t="s">
        <v>11</v>
      </c>
      <c r="D144" s="27" t="s">
        <v>176</v>
      </c>
      <c r="E144" s="9"/>
      <c r="F144" s="9"/>
      <c r="G144" s="73">
        <v>2.2972115835032199</v>
      </c>
      <c r="H144" s="59">
        <v>2015</v>
      </c>
      <c r="I144" s="9" t="s">
        <v>199</v>
      </c>
      <c r="J144" s="9">
        <v>6</v>
      </c>
      <c r="K144" s="61">
        <v>2010</v>
      </c>
      <c r="L144" s="61">
        <v>3</v>
      </c>
      <c r="M144" s="9">
        <v>0</v>
      </c>
      <c r="N144" s="9">
        <v>3</v>
      </c>
      <c r="O144" s="9"/>
      <c r="P144" s="50"/>
      <c r="Q144" s="24"/>
    </row>
    <row r="151" spans="7:7" x14ac:dyDescent="0.25">
      <c r="G151" s="41">
        <f>AVERAGE(G2,G22,G63,G87,G107,G126)</f>
        <v>59.247778602745569</v>
      </c>
    </row>
  </sheetData>
  <sheetProtection formatCells="0" formatColumns="0" formatRows="0" autoFilter="0"/>
  <autoFilter ref="A1:Q144"/>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Hoja1</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Valtierra</dc:creator>
  <cp:lastModifiedBy>Angelica-pc</cp:lastModifiedBy>
  <cp:lastPrinted>2018-04-11T18:31:22Z</cp:lastPrinted>
  <dcterms:created xsi:type="dcterms:W3CDTF">2018-01-04T16:36:03Z</dcterms:created>
  <dcterms:modified xsi:type="dcterms:W3CDTF">2018-04-24T19:39:15Z</dcterms:modified>
</cp:coreProperties>
</file>